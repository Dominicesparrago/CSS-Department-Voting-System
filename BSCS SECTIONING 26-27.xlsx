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 1A" sheetId="1" r:id="rId5"/>
    <sheet state="visible" name="CS 1B" sheetId="2" r:id="rId6"/>
    <sheet state="visible" name="CS 1C" sheetId="3" r:id="rId7"/>
    <sheet state="visible" name="CS 1D" sheetId="4" r:id="rId8"/>
    <sheet state="visible" name="CS 1E" sheetId="5" r:id="rId9"/>
    <sheet state="visible" name="CS 1F" sheetId="6" r:id="rId10"/>
    <sheet state="visible" name="CS 1G" sheetId="7" r:id="rId11"/>
    <sheet state="visible" name="CS 1H" sheetId="8" r:id="rId12"/>
    <sheet state="visible" name="CS 1I" sheetId="9" r:id="rId13"/>
    <sheet state="visible" name="CS 1J" sheetId="10" r:id="rId14"/>
    <sheet state="visible" name="CS 2A" sheetId="11" r:id="rId15"/>
    <sheet state="visible" name="CS 2B" sheetId="12" r:id="rId16"/>
    <sheet state="visible" name="CS 2C" sheetId="13" r:id="rId17"/>
    <sheet state="visible" name="CS 2D" sheetId="14" r:id="rId18"/>
    <sheet state="visible" name="CS 2E" sheetId="15" r:id="rId19"/>
    <sheet state="visible" name="CS 2F" sheetId="16" r:id="rId20"/>
    <sheet state="visible" name="CS 2G" sheetId="17" r:id="rId21"/>
    <sheet state="visible" name="CS 2H" sheetId="18" r:id="rId22"/>
    <sheet state="visible" name="CS 3A" sheetId="19" r:id="rId23"/>
    <sheet state="visible" name="CS 3B" sheetId="20" r:id="rId24"/>
    <sheet state="visible" name="CS 3C" sheetId="21" r:id="rId25"/>
    <sheet state="visible" name="CS 3D" sheetId="22" r:id="rId26"/>
    <sheet state="visible" name="CS 3E" sheetId="23" r:id="rId27"/>
    <sheet state="visible" name="CS 3F" sheetId="24" r:id="rId28"/>
    <sheet state="visible" name="CS 4A" sheetId="25" r:id="rId29"/>
    <sheet state="visible" name="CS 4B" sheetId="26" r:id="rId30"/>
    <sheet state="visible" name="CS 4C" sheetId="27" r:id="rId31"/>
    <sheet state="hidden" name="Sheet8" sheetId="28" r:id="rId32"/>
    <sheet state="hidden" name="SUMMARY" sheetId="29" r:id="rId33"/>
  </sheets>
  <definedNames/>
  <calcPr/>
</workbook>
</file>

<file path=xl/sharedStrings.xml><?xml version="1.0" encoding="utf-8"?>
<sst xmlns="http://schemas.openxmlformats.org/spreadsheetml/2006/main" count="2782" uniqueCount="1275">
  <si>
    <t>BSCS 1A</t>
  </si>
  <si>
    <t>BSCS 1B</t>
  </si>
  <si>
    <t>BSCS 1C</t>
  </si>
  <si>
    <t>FULL SECTION</t>
  </si>
  <si>
    <t>BSCS 1D</t>
  </si>
  <si>
    <t>GC LINK:</t>
  </si>
  <si>
    <t>https://tinyurl.com/gcCS1A</t>
  </si>
  <si>
    <t>https://tinyurl.com/gcCS1B</t>
  </si>
  <si>
    <t>SCHEDULE: 7:00 AM - 10:00 AM</t>
  </si>
  <si>
    <t>https://tinyurl.com/gcCS1C</t>
  </si>
  <si>
    <t>https://tinyurl.com/gcCS1D</t>
  </si>
  <si>
    <t>No.</t>
  </si>
  <si>
    <t>Name</t>
  </si>
  <si>
    <t>Status</t>
  </si>
  <si>
    <t>Abadilla, John Mark</t>
  </si>
  <si>
    <t>SCHEDULE: 10:00 AM - 1:00 PM</t>
  </si>
  <si>
    <t>Enrolled</t>
  </si>
  <si>
    <t>Abiada, Rogelio II</t>
  </si>
  <si>
    <t>SCHEDULE: 1:00 PM - 4:00 PM</t>
  </si>
  <si>
    <t>Abuda, Johnric</t>
  </si>
  <si>
    <t>Enlisted</t>
  </si>
  <si>
    <t>Abuda, John Lance</t>
  </si>
  <si>
    <t>Aguilloso, Marco Shelby</t>
  </si>
  <si>
    <t>Agita, Irish Adrian</t>
  </si>
  <si>
    <t>Airan, Angelo Danielle</t>
  </si>
  <si>
    <t>Albano, Alyssa</t>
  </si>
  <si>
    <t>Alam, Ydah Mariel</t>
  </si>
  <si>
    <t>Balino, John Mark</t>
  </si>
  <si>
    <t>Abatayo, Prinz Edward</t>
  </si>
  <si>
    <t>Ambol, Razel</t>
  </si>
  <si>
    <t>Bandol, Jayson</t>
  </si>
  <si>
    <t>Alano, Janelle</t>
  </si>
  <si>
    <t>Abregoso, Leslie Ann</t>
  </si>
  <si>
    <t>Bantad, Ma. Jhaniell</t>
  </si>
  <si>
    <t>Angeles, Aryanna</t>
  </si>
  <si>
    <t>Alarcon, Arsen</t>
  </si>
  <si>
    <t>Belia, Justine</t>
  </si>
  <si>
    <t>Alfonso, John Lennon</t>
  </si>
  <si>
    <t>Apacible, Sam Jaydee</t>
  </si>
  <si>
    <t>Biag, Alexander Cedric</t>
  </si>
  <si>
    <t>Alejandre, Jonh Cydrick</t>
  </si>
  <si>
    <t>Boton, Alizon</t>
  </si>
  <si>
    <t>Alhambra, Darwin</t>
  </si>
  <si>
    <t>Almosara, Ivan Marlou</t>
  </si>
  <si>
    <t>Aringo, Jamir</t>
  </si>
  <si>
    <t>Caderon, Abdul Rahman</t>
  </si>
  <si>
    <t>Altarejos, Renz</t>
  </si>
  <si>
    <t>Atoc, Rodolfo</t>
  </si>
  <si>
    <t>Cheng, John Hooven</t>
  </si>
  <si>
    <t>Baga, Vince Almir</t>
  </si>
  <si>
    <t>Debil, Alvin James</t>
  </si>
  <si>
    <t>Balaod, Danica Mae</t>
  </si>
  <si>
    <t>Amon, Jhon Paul</t>
  </si>
  <si>
    <t>Buhat, Nick Andrei</t>
  </si>
  <si>
    <t>Dela Paz, Gio Eryx</t>
  </si>
  <si>
    <t>Bertiz, Glen Paul</t>
  </si>
  <si>
    <t>Angadan, Yna Jane</t>
  </si>
  <si>
    <t>Bullon, Zidford David</t>
  </si>
  <si>
    <t>Digay, Charles Johnsell</t>
  </si>
  <si>
    <t>Besana, Rich Danniel</t>
  </si>
  <si>
    <t>Ballaran, Norman</t>
  </si>
  <si>
    <t>Bicoy, John Kenneth</t>
  </si>
  <si>
    <t>Cabales, Princess Amanda</t>
  </si>
  <si>
    <t>Dimasacat, Joeross</t>
  </si>
  <si>
    <t>Dollete, Luis Kyle</t>
  </si>
  <si>
    <t>Belaro, Rexel Josh</t>
  </si>
  <si>
    <t>Buo, Renalyn</t>
  </si>
  <si>
    <t>Eleuterio, Prince Shamrock</t>
  </si>
  <si>
    <t>Cahinosayan, Charles Ivan</t>
  </si>
  <si>
    <t>Castro, Angelo</t>
  </si>
  <si>
    <t>Cadiz, Jhean Michael</t>
  </si>
  <si>
    <t>Campado, Mark Joseph</t>
  </si>
  <si>
    <t>Camposano, Rj Anthony</t>
  </si>
  <si>
    <t>Cañete, John Pierre</t>
  </si>
  <si>
    <t>Crisostomo, Adrian Kyle</t>
  </si>
  <si>
    <t>Esparza, Malcolm</t>
  </si>
  <si>
    <t>Christensen, Casper</t>
  </si>
  <si>
    <t>Cuison, Clyde Benedict</t>
  </si>
  <si>
    <t>Clemente, Wrex Avhiel</t>
  </si>
  <si>
    <t>Espinosa, Rodel</t>
  </si>
  <si>
    <t>Columna, Rhealyn</t>
  </si>
  <si>
    <t>Frades, James Vanicks</t>
  </si>
  <si>
    <t>De Asis, Manny</t>
  </si>
  <si>
    <t>Dela Cruz, Alvin</t>
  </si>
  <si>
    <t>Francisco, Andrei Kyle</t>
  </si>
  <si>
    <t>Curitao, Mark Alvin</t>
  </si>
  <si>
    <t>De Leon, Joshua</t>
  </si>
  <si>
    <t>Delatado, Brinan</t>
  </si>
  <si>
    <t>Hipolito, Harvey Ermin</t>
  </si>
  <si>
    <t>Icao, Evangielyn</t>
  </si>
  <si>
    <t>Del Pilar, Sam Audre</t>
  </si>
  <si>
    <t>Dumao, John Rick</t>
  </si>
  <si>
    <t>Jacinto, Prince Mhardwin</t>
  </si>
  <si>
    <t>Dela Cruz, James</t>
  </si>
  <si>
    <t>Domingo, John Louie</t>
  </si>
  <si>
    <t>Javier, Mart Adrian</t>
  </si>
  <si>
    <t>Dumdum, Jilian</t>
  </si>
  <si>
    <t>Española, Nheil Christopher</t>
  </si>
  <si>
    <t>Domingo, Darjey Shia</t>
  </si>
  <si>
    <t>Lapitan, Shannon Harriet</t>
  </si>
  <si>
    <t>Eusebio, Danuel John</t>
  </si>
  <si>
    <t>Laplana, Kent Clayan</t>
  </si>
  <si>
    <t>Faller, Khalida</t>
  </si>
  <si>
    <t>Eligino, Eathan Nate</t>
  </si>
  <si>
    <t>Lardera, Alyssa Kem</t>
  </si>
  <si>
    <t>Domulot, Daniel Ysack</t>
  </si>
  <si>
    <t>Legaspi, Justyn Wayne</t>
  </si>
  <si>
    <t>Loyola, Sam</t>
  </si>
  <si>
    <t>Febrer, Rhizen</t>
  </si>
  <si>
    <t>Esquivel, Hilarry</t>
  </si>
  <si>
    <t>Lendo, Rinz</t>
  </si>
  <si>
    <t>Magalona, Yurico Jeff</t>
  </si>
  <si>
    <t>Gitgano, Aiveen</t>
  </si>
  <si>
    <t>Excija, Justin Jake</t>
  </si>
  <si>
    <t>Mahisay, Davenier</t>
  </si>
  <si>
    <t>Manipon, Renus Jasper II</t>
  </si>
  <si>
    <t>Gregorio, Jefferson</t>
  </si>
  <si>
    <t>Mendoza, Rainier Tonch</t>
  </si>
  <si>
    <t>Movilla, Karl Francis</t>
  </si>
  <si>
    <t>Fernando, John Rey</t>
  </si>
  <si>
    <t>Miguel, Ej Cyrus</t>
  </si>
  <si>
    <t>Guevarra, Benedict</t>
  </si>
  <si>
    <t>Niere, Mheann</t>
  </si>
  <si>
    <t>Gunayan, Jules</t>
  </si>
  <si>
    <t>Flores, Angeline</t>
  </si>
  <si>
    <t>Oania, Mark Jerome</t>
  </si>
  <si>
    <t>Olid, Jhayrah Erykka</t>
  </si>
  <si>
    <t>Kadusale, Ken Lester</t>
  </si>
  <si>
    <t>Galang, Sean Patrick</t>
  </si>
  <si>
    <t>Paclar, Gil</t>
  </si>
  <si>
    <t>Obena, Edizon</t>
  </si>
  <si>
    <t>Lagaran, King</t>
  </si>
  <si>
    <t>Padrique, Lance Andrei</t>
  </si>
  <si>
    <t>Padit, Allan Dave</t>
  </si>
  <si>
    <t>Goyena, John Carl</t>
  </si>
  <si>
    <t>Peñaranda, Raymundo Jr.</t>
  </si>
  <si>
    <t>Lumapas, Princess Nicole</t>
  </si>
  <si>
    <t>Pagunsan, Lorraine Joy</t>
  </si>
  <si>
    <t>Ramos, Richard Ivan</t>
  </si>
  <si>
    <t>Malabarbas, Louie Jay</t>
  </si>
  <si>
    <t>Gruben, Paul Alan</t>
  </si>
  <si>
    <t>Pamplona, Allyssa Anne</t>
  </si>
  <si>
    <t>Reyes, Beatriz Antonette</t>
  </si>
  <si>
    <t>Intong, Isidro Jr</t>
  </si>
  <si>
    <t>Rodavia, John Mark</t>
  </si>
  <si>
    <t>Marte, Mark Anthony</t>
  </si>
  <si>
    <t>Perez, Jan Ryshan</t>
  </si>
  <si>
    <t>Rovillos, Arianne</t>
  </si>
  <si>
    <t>Kubono, Toshihiro</t>
  </si>
  <si>
    <t>Perez, Jc</t>
  </si>
  <si>
    <t>Martires, Alex Jr.</t>
  </si>
  <si>
    <t>Santos, Gem Lian</t>
  </si>
  <si>
    <t>Prodicimo, Reynard</t>
  </si>
  <si>
    <t>Marvilla, Khristian Kharl</t>
  </si>
  <si>
    <t>Sotelo, John Nicole</t>
  </si>
  <si>
    <t>Lausin, Njoy</t>
  </si>
  <si>
    <t>Meneses, Chrystal Ann</t>
  </si>
  <si>
    <t>Pulido, Frienz Boyet Theddie</t>
  </si>
  <si>
    <t>Tabalba, Daniel Jose</t>
  </si>
  <si>
    <t>Montemayor, Vim Russell</t>
  </si>
  <si>
    <t>Resterio, Jairih</t>
  </si>
  <si>
    <t>Tangco, Baraquiel Kyle</t>
  </si>
  <si>
    <t>Lazarra, Justin Rod</t>
  </si>
  <si>
    <t>Toribio, Nickzar David Janson</t>
  </si>
  <si>
    <t>Rivera, Mark Genesis</t>
  </si>
  <si>
    <t>Villanueva, Aira Nicole</t>
  </si>
  <si>
    <t>Rodriguez, Marc Harvey</t>
  </si>
  <si>
    <t>***nothing follows***</t>
  </si>
  <si>
    <t>Lesano, Jhon Kenneth</t>
  </si>
  <si>
    <t>Nite, Rhea Angela</t>
  </si>
  <si>
    <t>Salcedo, Norivie Zurich</t>
  </si>
  <si>
    <t>As of 6:40 PM - Aug. 11, 2026</t>
  </si>
  <si>
    <t>Lolong, Zendrix</t>
  </si>
  <si>
    <t>Noblejas, Rhonzie</t>
  </si>
  <si>
    <t>Salundaguit, Roberto Jr</t>
  </si>
  <si>
    <t>Omang, Ralph Luis</t>
  </si>
  <si>
    <t>Maghanoy, Jaira Nicola</t>
  </si>
  <si>
    <t>Sanchez, Kate</t>
  </si>
  <si>
    <t>Segunto, Castor Troy</t>
  </si>
  <si>
    <t>Onelan, Reymart</t>
  </si>
  <si>
    <t>Marayan, Cian Mark</t>
  </si>
  <si>
    <t>Solis, Mark Andrie</t>
  </si>
  <si>
    <t>Pacaña, John Stephen King</t>
  </si>
  <si>
    <t>Montero, Nicolai</t>
  </si>
  <si>
    <t>Ticman, Kerby</t>
  </si>
  <si>
    <t>Pacheco, Aleah Keith</t>
  </si>
  <si>
    <t>Moreno, John Rey</t>
  </si>
  <si>
    <t>Yalong, Princess Nicole</t>
  </si>
  <si>
    <t>Pagulayan, Clark Edward</t>
  </si>
  <si>
    <t>Norte, John Christopher</t>
  </si>
  <si>
    <t>BSCS 1E</t>
  </si>
  <si>
    <t>Petil, Prince Ralph</t>
  </si>
  <si>
    <t>Ollosa, John Paul</t>
  </si>
  <si>
    <t>Ranillo, John Khirby</t>
  </si>
  <si>
    <t>Segun, Jhan Michael</t>
  </si>
  <si>
    <t>https://tinyurl.com/gcCS1E</t>
  </si>
  <si>
    <t>Soriao, Lourd John</t>
  </si>
  <si>
    <t>Tabuloc, Jhon Carlo</t>
  </si>
  <si>
    <t>Paculanang, Zyrich</t>
  </si>
  <si>
    <t>Teñoso, James</t>
  </si>
  <si>
    <t>Torres, Dhale</t>
  </si>
  <si>
    <t>Periabras, Jonathan</t>
  </si>
  <si>
    <t>Ugaddan, Jaslie</t>
  </si>
  <si>
    <t>Perilonia, Jimpoll</t>
  </si>
  <si>
    <t>BSCS 1F</t>
  </si>
  <si>
    <t>Villaceran, Roma Mariz</t>
  </si>
  <si>
    <t>Aguelo, Princess Nathalia</t>
  </si>
  <si>
    <t>Radecilla, Maverick Jake</t>
  </si>
  <si>
    <t>Alaer, John David</t>
  </si>
  <si>
    <t>Villanueva, John Arcuz</t>
  </si>
  <si>
    <t>Albalate, Ashlee</t>
  </si>
  <si>
    <t>Ruado, Joaquin</t>
  </si>
  <si>
    <t>Alegro, Jeruel Karl</t>
  </si>
  <si>
    <t>Yap, Bryan Andrew</t>
  </si>
  <si>
    <t>Ampo-an, John Paul</t>
  </si>
  <si>
    <t>https://tinyurl.com/gcCS1F</t>
  </si>
  <si>
    <t>San Pedro, Mark Christopher</t>
  </si>
  <si>
    <t>Ando, Aldren Jay</t>
  </si>
  <si>
    <t>Angeles, John Ray</t>
  </si>
  <si>
    <t>Senen, Jenrhey Gersli</t>
  </si>
  <si>
    <t>Arbiol, Mariel</t>
  </si>
  <si>
    <t>Sevilla, Irish</t>
  </si>
  <si>
    <t>Bacunawa, Lance Adrian</t>
  </si>
  <si>
    <t>Bautista, Joey</t>
  </si>
  <si>
    <t>Uy, Renzy</t>
  </si>
  <si>
    <t>Bayon-On, Andrew Zane</t>
  </si>
  <si>
    <t>Bejo, Jeremiah Robert</t>
  </si>
  <si>
    <t>Villorejo, Clarince</t>
  </si>
  <si>
    <t>Bacani, Adriane</t>
  </si>
  <si>
    <t>Bucol, Charis</t>
  </si>
  <si>
    <t>Busaco, Elaine</t>
  </si>
  <si>
    <t>Bardenas, Reynaldo</t>
  </si>
  <si>
    <t>Cabang, John Paolo</t>
  </si>
  <si>
    <t>Bautista, Mark Enrick</t>
  </si>
  <si>
    <t>Cabayag, Mark Bryan</t>
  </si>
  <si>
    <t>BSCS 1G</t>
  </si>
  <si>
    <t>Cadag, John Kyle</t>
  </si>
  <si>
    <t>Belledo, Lian May</t>
  </si>
  <si>
    <t>Castro, Justine Randolf</t>
  </si>
  <si>
    <t>Bragado, Josh Warren</t>
  </si>
  <si>
    <t>Cestina, Joshua</t>
  </si>
  <si>
    <t>Cortez, Marc Justin</t>
  </si>
  <si>
    <t>Buenaflor, Mario Louiegy</t>
  </si>
  <si>
    <t>Cuyos, Lovyriza</t>
  </si>
  <si>
    <t>Cabubas, Gian Carlo</t>
  </si>
  <si>
    <t>Develez, Denzel Arie</t>
  </si>
  <si>
    <t>https://tinyurl.com/gcCS1G</t>
  </si>
  <si>
    <t>Camacho, Sydney Zhienne</t>
  </si>
  <si>
    <t>Española, Rhea Mae</t>
  </si>
  <si>
    <t>Cantuba, Alynna</t>
  </si>
  <si>
    <t>Galang, Raven</t>
  </si>
  <si>
    <t>Galit, Argie</t>
  </si>
  <si>
    <t>Catubuan, Angela</t>
  </si>
  <si>
    <t>BSCS 1H</t>
  </si>
  <si>
    <t>Gueriña, Mark Jhon</t>
  </si>
  <si>
    <t>Ceroriales, Eldrich Jake</t>
  </si>
  <si>
    <t>Guillermo, Yaagoh</t>
  </si>
  <si>
    <t>Iglesia, John Rey</t>
  </si>
  <si>
    <t>Daria, Andrei Jay</t>
  </si>
  <si>
    <t>Jalea, Kriza</t>
  </si>
  <si>
    <t>Delim, Linus-Jake</t>
  </si>
  <si>
    <t>Lanit, Rafael</t>
  </si>
  <si>
    <t>Duka, Lhian Drexel</t>
  </si>
  <si>
    <t>Lausin, Jhaf</t>
  </si>
  <si>
    <t>Maravillas, Rhian Dane</t>
  </si>
  <si>
    <t>Dungan, Carl Jenry</t>
  </si>
  <si>
    <t>https://tinyurl.com/gcCS1H</t>
  </si>
  <si>
    <t>Amparado, John Daniel</t>
  </si>
  <si>
    <t>Moreno, Ashley</t>
  </si>
  <si>
    <t>Estorba, Andrew Jr</t>
  </si>
  <si>
    <t>Antineo, Jiro</t>
  </si>
  <si>
    <t>Nanquil, Joshriel Abraham</t>
  </si>
  <si>
    <t>Estrada, Paul Anthony</t>
  </si>
  <si>
    <t>Ocampo, Benedict Raymond Alexander</t>
  </si>
  <si>
    <t>Arches, Matt Oliver</t>
  </si>
  <si>
    <t>Ochangco, Zachary Akhomeh</t>
  </si>
  <si>
    <t>Bendoy, Mark Joseph</t>
  </si>
  <si>
    <t>Estrada, Paul Bryan</t>
  </si>
  <si>
    <t>Onceno, John Carlo</t>
  </si>
  <si>
    <t>Bolaños, Gerald</t>
  </si>
  <si>
    <t>Ferolino, Charrie</t>
  </si>
  <si>
    <t>Ordoña, Jan Matthew</t>
  </si>
  <si>
    <t>Bonifacio, Keon</t>
  </si>
  <si>
    <t>Flores, Benith Kyrbie</t>
  </si>
  <si>
    <t>Paluga, Jhonry</t>
  </si>
  <si>
    <t>Cababao, Ma. Virginia Nicole</t>
  </si>
  <si>
    <t>Planas, Ryan Justin</t>
  </si>
  <si>
    <t>Castro, Renz Aaron</t>
  </si>
  <si>
    <t>Gomez, Andrae Emerson</t>
  </si>
  <si>
    <t>Chua, Jefferson</t>
  </si>
  <si>
    <t>Rivera, Joshua</t>
  </si>
  <si>
    <t>Herrera, Ariel Jay</t>
  </si>
  <si>
    <t>Coma, Jin Steven</t>
  </si>
  <si>
    <t>Sardido, Danniel</t>
  </si>
  <si>
    <t>Almanon, Sarah Glaize</t>
  </si>
  <si>
    <t>Cucal, Rain Cyrus</t>
  </si>
  <si>
    <t>Lubuguin, Franchesly</t>
  </si>
  <si>
    <t>Sarmiento, Prince Reagan</t>
  </si>
  <si>
    <t>De Guzman, John Gian</t>
  </si>
  <si>
    <t>Almoguera, Moira</t>
  </si>
  <si>
    <t>Macalanda, Jhon Patrick</t>
  </si>
  <si>
    <t>Simbulan, Railee</t>
  </si>
  <si>
    <t>Dela Cruz, Shandra Mae</t>
  </si>
  <si>
    <t>Aunzo, Irish Catherine</t>
  </si>
  <si>
    <t>Delos Santos, Mark Crypton</t>
  </si>
  <si>
    <t>Tolentino, Rainell Christian</t>
  </si>
  <si>
    <t>Maeda, Kenzo</t>
  </si>
  <si>
    <t>Deo, Miguel</t>
  </si>
  <si>
    <t>Bagagunio, Xyruz Yurie</t>
  </si>
  <si>
    <t>Mangubat, Janny</t>
  </si>
  <si>
    <t>Tonog, Jonas</t>
  </si>
  <si>
    <t>Dorado, Vincent Daryl</t>
  </si>
  <si>
    <t>Barrola, Mark James</t>
  </si>
  <si>
    <t>Nacion, Jacobe</t>
  </si>
  <si>
    <t>Elcano, Kelvin</t>
  </si>
  <si>
    <t>Bulalacao, Glenn Yen</t>
  </si>
  <si>
    <t>Ogrimen, Charlotte</t>
  </si>
  <si>
    <t>Fernandez, Ginalyn</t>
  </si>
  <si>
    <t>Cabilogan, John Arvin Ralph</t>
  </si>
  <si>
    <t>Pablo, Joshua Angelo</t>
  </si>
  <si>
    <t>Fernando, Petter Jhon</t>
  </si>
  <si>
    <t>Cabubas, Jhon Loid</t>
  </si>
  <si>
    <t>Calubag, John Basil</t>
  </si>
  <si>
    <t>Gacosta, Jared Noah</t>
  </si>
  <si>
    <t>Pasco, John Cliford</t>
  </si>
  <si>
    <t>Cedron, Luigi</t>
  </si>
  <si>
    <t>Gibaga, Daine</t>
  </si>
  <si>
    <t>Picardal, Lorence Rafael</t>
  </si>
  <si>
    <t>BSCS 1I</t>
  </si>
  <si>
    <t>Piolen, Vencent Mark</t>
  </si>
  <si>
    <t>Gonzales, Iscel Risse</t>
  </si>
  <si>
    <t>Consolacion, Lhennel</t>
  </si>
  <si>
    <t>Guianan, Marthy Dominique</t>
  </si>
  <si>
    <t>Platino, Jerean Jake</t>
  </si>
  <si>
    <t>Cuadra, Arcelyn</t>
  </si>
  <si>
    <t>Guibane, Carlo</t>
  </si>
  <si>
    <t>Regondola, Shenazzar</t>
  </si>
  <si>
    <t>Josue, Set Owenz</t>
  </si>
  <si>
    <t>David, Louise Andre</t>
  </si>
  <si>
    <t>https://tinyurl.com/gcCS1I</t>
  </si>
  <si>
    <t>Reyes, Adriane Rhey</t>
  </si>
  <si>
    <t>Lacbayo, Mikhaella</t>
  </si>
  <si>
    <t>Dela Cruz, Jeslyn</t>
  </si>
  <si>
    <t>Langomez, Elisha Anne</t>
  </si>
  <si>
    <t>Dumlao, Vangelyn</t>
  </si>
  <si>
    <t>Reyes, Ahmed Mohamed</t>
  </si>
  <si>
    <t>Españo, Jhaniel</t>
  </si>
  <si>
    <t>Lata, Daryl Clemens</t>
  </si>
  <si>
    <t>Reyes, Marc Cedric</t>
  </si>
  <si>
    <t>Leones, Eliakim</t>
  </si>
  <si>
    <t>Salazar, Duke Dann</t>
  </si>
  <si>
    <t>Fresnido, Ethan David</t>
  </si>
  <si>
    <t>Libertad, John Ashly</t>
  </si>
  <si>
    <t>Acupan, Gian Gahlen</t>
  </si>
  <si>
    <t>San Jose, Ghian Carl</t>
  </si>
  <si>
    <t>Arizala, Marc Daniel</t>
  </si>
  <si>
    <t>Magdael, Jude Clarence</t>
  </si>
  <si>
    <t>Gerarman, Iann Shane</t>
  </si>
  <si>
    <t>Surio, John Kenneth</t>
  </si>
  <si>
    <t>Asis, Roan Aphriel</t>
  </si>
  <si>
    <t>Manata, Kevin Ivan</t>
  </si>
  <si>
    <t>Tamba, Aldrien</t>
  </si>
  <si>
    <t>Bagaporo, Kyrst Aikhie</t>
  </si>
  <si>
    <t>Montero, Ralph Lawrenz</t>
  </si>
  <si>
    <t>Godoy, Samantha</t>
  </si>
  <si>
    <t>Tarala, Sachiko Yuki</t>
  </si>
  <si>
    <t>Borreta, Jayrich</t>
  </si>
  <si>
    <t>Obias, Frederick</t>
  </si>
  <si>
    <t>Gregorio, Argie Mart</t>
  </si>
  <si>
    <t>Bulabos, Ian Gabriel</t>
  </si>
  <si>
    <t>Torrico, Rhaniel</t>
  </si>
  <si>
    <t>Odinada, Sam</t>
  </si>
  <si>
    <t>Bustamante, Louther</t>
  </si>
  <si>
    <t>Prudenciado, Rwenn Angelyn</t>
  </si>
  <si>
    <t>Guzman, Althea</t>
  </si>
  <si>
    <t>Busto, Godpray</t>
  </si>
  <si>
    <t>Valenzuela, Samuel</t>
  </si>
  <si>
    <t>Quilaton, John Xyrus</t>
  </si>
  <si>
    <t>Cornejo, Jhon Harven</t>
  </si>
  <si>
    <t>Corpuz, Duztin David</t>
  </si>
  <si>
    <t>Reponte, Zchamer Gabriel</t>
  </si>
  <si>
    <t>Velasco, Khaylee</t>
  </si>
  <si>
    <t>Herminigildo, Angeline</t>
  </si>
  <si>
    <t>De Borja, James Carl</t>
  </si>
  <si>
    <t>Rizo, Mark Anthony</t>
  </si>
  <si>
    <t>Dela Cruz, James Ivan</t>
  </si>
  <si>
    <t>Hilado, Adrianne</t>
  </si>
  <si>
    <t>Deza, Florence</t>
  </si>
  <si>
    <t>Rosita, Robin</t>
  </si>
  <si>
    <t>Escarda, Jemielle Leigh</t>
  </si>
  <si>
    <t>Serrano, Mitch</t>
  </si>
  <si>
    <t>Insular, Gian Carl</t>
  </si>
  <si>
    <t>Escomen, Khelvester</t>
  </si>
  <si>
    <t>Fermilan, Charls John</t>
  </si>
  <si>
    <t>Solero, Jervin Rosch</t>
  </si>
  <si>
    <t>Jurane, Adrian</t>
  </si>
  <si>
    <t>Flores, Justin</t>
  </si>
  <si>
    <t>Taata, Armando Jr.</t>
  </si>
  <si>
    <t>Fuentes, Sherly</t>
  </si>
  <si>
    <t>Tina, Dawn Jewel</t>
  </si>
  <si>
    <t>Galang, Danes David</t>
  </si>
  <si>
    <t>Lumampao, John Numark</t>
  </si>
  <si>
    <t>Garnica, Laurence Nathan Jan</t>
  </si>
  <si>
    <t>Tubon, Cedric</t>
  </si>
  <si>
    <t>Gutierrez, Jhon Patrick</t>
  </si>
  <si>
    <t>Maravilla, Carlo Jr</t>
  </si>
  <si>
    <t>Tulayan, Princess Marylene</t>
  </si>
  <si>
    <t>Lalaguna, Richard</t>
  </si>
  <si>
    <t>Legaspi, Alexander</t>
  </si>
  <si>
    <t>Valles, Rio John</t>
  </si>
  <si>
    <t>Maray, Jhon Marck</t>
  </si>
  <si>
    <t>Limor, Gary</t>
  </si>
  <si>
    <t>BSCS 1J</t>
  </si>
  <si>
    <t>Ysug, Lydiandy Princess</t>
  </si>
  <si>
    <t>Mangontra, Hamza</t>
  </si>
  <si>
    <t>Marzan, Sean Jay Neythan</t>
  </si>
  <si>
    <t>Mangontra, Hasanor</t>
  </si>
  <si>
    <t>Manuntag, Prince Aljhur</t>
  </si>
  <si>
    <t>Pallega, Christian</t>
  </si>
  <si>
    <t>Nabong, John Vincent</t>
  </si>
  <si>
    <t>Navarro, Adrianne Dane</t>
  </si>
  <si>
    <t>https://tinyurl.com/gcCS1J</t>
  </si>
  <si>
    <t>Palomo, Jomarie</t>
  </si>
  <si>
    <t>Nogales, Jemel</t>
  </si>
  <si>
    <t>Punzalan, Brian Dave</t>
  </si>
  <si>
    <t>Osera, Ma. Princess Nicole</t>
  </si>
  <si>
    <t>Padilla, Ceesh Jaechan</t>
  </si>
  <si>
    <t>Racca, Christian James</t>
  </si>
  <si>
    <t>SCHEDULE: 4:00 PM - 7:00 PM</t>
  </si>
  <si>
    <t>Raganit, John Kyle</t>
  </si>
  <si>
    <t>Rebosura, Earl John</t>
  </si>
  <si>
    <t>BSCS 2A</t>
  </si>
  <si>
    <t>Panal, Mark Anthony</t>
  </si>
  <si>
    <t>Regulacion, Luiz Andrei</t>
  </si>
  <si>
    <t>Pelaez, John Lourd</t>
  </si>
  <si>
    <t>Romero, Eloiza</t>
  </si>
  <si>
    <t>Peroche, Raff Jay</t>
  </si>
  <si>
    <t>Alforte, Severino</t>
  </si>
  <si>
    <t>Rueda, Benz</t>
  </si>
  <si>
    <t>https://tinyurl.com/gcCS2A</t>
  </si>
  <si>
    <t>Pitallano, Ken</t>
  </si>
  <si>
    <t>Almacin, Danella</t>
  </si>
  <si>
    <t>Simballa, Charl Cidrec</t>
  </si>
  <si>
    <t>Quilbio, Justin Lee</t>
  </si>
  <si>
    <t>Remiendo, Krissa Mae</t>
  </si>
  <si>
    <t>Attractivo, Earl James</t>
  </si>
  <si>
    <t>Somera, Charles Vincent</t>
  </si>
  <si>
    <t>Reyes, Emmanuel Alexis</t>
  </si>
  <si>
    <t>Subagan, Haniel Eirhielle</t>
  </si>
  <si>
    <t>Badiana, Jhon Mark</t>
  </si>
  <si>
    <t>San Gabriel, Kirk Patrick</t>
  </si>
  <si>
    <t>Santos, Ralph Bryan</t>
  </si>
  <si>
    <t>Balean, Christian</t>
  </si>
  <si>
    <t>Sumobay, Cryruzjan</t>
  </si>
  <si>
    <t>Silvino, Chester Renzo</t>
  </si>
  <si>
    <t>Sinogat, Lawrence Ace</t>
  </si>
  <si>
    <t>Tariman, Shaira</t>
  </si>
  <si>
    <t>Bayno, Gimmoel</t>
  </si>
  <si>
    <t>Sinsay, John Ivan</t>
  </si>
  <si>
    <t>Alvendia, June Ray</t>
  </si>
  <si>
    <t>Sombrero, Jasfer</t>
  </si>
  <si>
    <t>Valdez, Bubbles Lhouiessa</t>
  </si>
  <si>
    <t>Anquillano, Shester</t>
  </si>
  <si>
    <t>Soriano, Jeru</t>
  </si>
  <si>
    <t>Bello, Jane Isabel</t>
  </si>
  <si>
    <t>Teoxon, John Dave</t>
  </si>
  <si>
    <t>Zaragoza, Joshua</t>
  </si>
  <si>
    <t>Apolinario, Mica Ella</t>
  </si>
  <si>
    <t>Tulagan, Sanjoe Kirby</t>
  </si>
  <si>
    <t>Bien, Wency</t>
  </si>
  <si>
    <t>Austria, Karl James</t>
  </si>
  <si>
    <t>Vargas, Jemberly</t>
  </si>
  <si>
    <t>Veloso, Rainniel</t>
  </si>
  <si>
    <t>Belisario, James Mark</t>
  </si>
  <si>
    <t>Caldona, Ace Dwight Aizen</t>
  </si>
  <si>
    <t>Vendivel, Ivan Craig Ellis</t>
  </si>
  <si>
    <t>Beltran, Rhica</t>
  </si>
  <si>
    <t>Cara, Mariz Mae</t>
  </si>
  <si>
    <t>De Guia, Karl Ivan</t>
  </si>
  <si>
    <t>Castro, April Shine</t>
  </si>
  <si>
    <t>De Guzman, Emerson</t>
  </si>
  <si>
    <t>Daep, Anjielyne</t>
  </si>
  <si>
    <t>Dela Vega, Justine</t>
  </si>
  <si>
    <t>De Peralta, Jaspel Joice</t>
  </si>
  <si>
    <t>Dominguez, Cyrus</t>
  </si>
  <si>
    <t>Granada, Danica Faith</t>
  </si>
  <si>
    <t>Encina, Ron Adriel</t>
  </si>
  <si>
    <t>Magdaong, Mark Anthony</t>
  </si>
  <si>
    <t>Esguerra, Allen</t>
  </si>
  <si>
    <t>BSCS 2C</t>
  </si>
  <si>
    <t>BSCS 2B</t>
  </si>
  <si>
    <t>Espanto, Adrian Kyle</t>
  </si>
  <si>
    <t>Marcial, Jeffrey Jr</t>
  </si>
  <si>
    <t>https://tinyurl.com/gcCS2C</t>
  </si>
  <si>
    <t>Espeña, Jollyne</t>
  </si>
  <si>
    <t>Mejia, Cedric</t>
  </si>
  <si>
    <t>Estrera, Johnsean</t>
  </si>
  <si>
    <t>Monteleyola, Jericho</t>
  </si>
  <si>
    <t>Gabito, Danniel</t>
  </si>
  <si>
    <t>https://tinyurl.com/gcCS2B</t>
  </si>
  <si>
    <t>Murallon, John Felix</t>
  </si>
  <si>
    <t>Gallardo, Alyssa Mae</t>
  </si>
  <si>
    <t>Panlilio, John Carlo</t>
  </si>
  <si>
    <t>Abanto, Zay</t>
  </si>
  <si>
    <t>Galsim, Bryan</t>
  </si>
  <si>
    <t>Paña, Urry John Kyle</t>
  </si>
  <si>
    <t>Abesamis, Khristian Lee</t>
  </si>
  <si>
    <t>Gamotea, Jahsfer</t>
  </si>
  <si>
    <t>Ramos, Jaryl</t>
  </si>
  <si>
    <t>Acosta, Destiny</t>
  </si>
  <si>
    <t>Adolfo, Aeran Joed</t>
  </si>
  <si>
    <t>Gonzaga, Gherich</t>
  </si>
  <si>
    <t>Salvio, Jhon Gabriel</t>
  </si>
  <si>
    <t>Alquizar, Cart Randel</t>
  </si>
  <si>
    <t>Guarin, Van Aerol</t>
  </si>
  <si>
    <t>Arboleda, Glenn Ivan</t>
  </si>
  <si>
    <t>Sinepete, Jeane Robert</t>
  </si>
  <si>
    <t>Atriz, Rhon Jan</t>
  </si>
  <si>
    <t>Castro, King Leinardzeca</t>
  </si>
  <si>
    <t>Tirado, John Mark</t>
  </si>
  <si>
    <t>Cinco, Jhaniela Del</t>
  </si>
  <si>
    <t>Urriza, John Alexander</t>
  </si>
  <si>
    <t>Conde, Marlou</t>
  </si>
  <si>
    <t>Cupat, Jhon Peter</t>
  </si>
  <si>
    <t>Valenton, Aarron Paul</t>
  </si>
  <si>
    <t>Abdulla, Princess Ryza</t>
  </si>
  <si>
    <t>Dalangin, Bryan</t>
  </si>
  <si>
    <t>Hernandez, Carl Zandy</t>
  </si>
  <si>
    <t>Dancil, John Emmanuel</t>
  </si>
  <si>
    <t>De Guzman, Mary Liezel</t>
  </si>
  <si>
    <t>Abezada, Jenywel Mirah</t>
  </si>
  <si>
    <t>Huerto, Lois Lorein</t>
  </si>
  <si>
    <t>De Jesus, Rohan Malcolm</t>
  </si>
  <si>
    <t>Aquino, Prince Ian</t>
  </si>
  <si>
    <t>Igat, Vincent</t>
  </si>
  <si>
    <t>Domingo, Gemma</t>
  </si>
  <si>
    <t>Jacinto, Nielbert</t>
  </si>
  <si>
    <t>Arcojada, Judiel Angelo</t>
  </si>
  <si>
    <t>Evangelista, Wency</t>
  </si>
  <si>
    <t>Labendia, Marjun Carlo</t>
  </si>
  <si>
    <t>Bagacay, John Ramel</t>
  </si>
  <si>
    <t>Francisco, Ariane</t>
  </si>
  <si>
    <t>Laron, John Michael</t>
  </si>
  <si>
    <t>Lopez, Keleden</t>
  </si>
  <si>
    <t>Binalingbing, Mar Jhon</t>
  </si>
  <si>
    <t>Gomez, Joshua</t>
  </si>
  <si>
    <t>Macawile, Lance</t>
  </si>
  <si>
    <t>Havana, Princess</t>
  </si>
  <si>
    <t>Conte, Jhon Michael</t>
  </si>
  <si>
    <t>Morta, Ken Charey</t>
  </si>
  <si>
    <t>Hebia, Chris Alfred</t>
  </si>
  <si>
    <t>Dava, John Raul</t>
  </si>
  <si>
    <t>Litigio, Clarence Aeron</t>
  </si>
  <si>
    <t>Nabong, Prince Charles</t>
  </si>
  <si>
    <t>Lorico, Paul Dereck</t>
  </si>
  <si>
    <t>Nacional, Dianne Francheska</t>
  </si>
  <si>
    <t>Manga, Aerronn Joell</t>
  </si>
  <si>
    <t>Dayro, Khezia Mae</t>
  </si>
  <si>
    <t>Moreno, John Carl</t>
  </si>
  <si>
    <t>Nagales, Lee Jhustine</t>
  </si>
  <si>
    <t>Murillo, Andre</t>
  </si>
  <si>
    <t>Dela Cruz, Fatima Mae</t>
  </si>
  <si>
    <t>Olavere, Justin Angelson</t>
  </si>
  <si>
    <t>Padilla, Jherhon Trickzlee</t>
  </si>
  <si>
    <t>Dela Cruz, Jokas Kobi</t>
  </si>
  <si>
    <t>Pajara, Mark Cedrick</t>
  </si>
  <si>
    <t>Nillo, Christian Paul Allen</t>
  </si>
  <si>
    <t>Opiniano, Khyran RJ</t>
  </si>
  <si>
    <t>Pobocan, Chelsea Marjeri Anne</t>
  </si>
  <si>
    <t>Docto, Martin Benedict</t>
  </si>
  <si>
    <t>Palero, Leinad</t>
  </si>
  <si>
    <t>Quejado, Jhonas Kurt</t>
  </si>
  <si>
    <t>Recientes, Stefan Raphael</t>
  </si>
  <si>
    <t>Patag, Ericka Lei</t>
  </si>
  <si>
    <t>Estoris, John Loid</t>
  </si>
  <si>
    <t>Poquiz, Jhon Mark</t>
  </si>
  <si>
    <t>Rellores, Jeffrey</t>
  </si>
  <si>
    <t>Flores, Mahara Carrie</t>
  </si>
  <si>
    <t>Sampoleo, Jerlyn</t>
  </si>
  <si>
    <t>Rapanot, Chester Jake</t>
  </si>
  <si>
    <t>Sanchez, Kian Carlos</t>
  </si>
  <si>
    <t>Gaum, Justine Miguel</t>
  </si>
  <si>
    <t>Sanchez, Ronalyn</t>
  </si>
  <si>
    <t>Razal, Denz Richelle</t>
  </si>
  <si>
    <t>Santisas, Trisha Mae</t>
  </si>
  <si>
    <t>Gerona, Jeric</t>
  </si>
  <si>
    <t>Sapuras, Cris Jie</t>
  </si>
  <si>
    <t>Romero, John Brenz Dave</t>
  </si>
  <si>
    <t>Templonuevo, Jhon Patrick</t>
  </si>
  <si>
    <t>Hobayan, Roxanne</t>
  </si>
  <si>
    <t>Valderama, Cevric Joseph</t>
  </si>
  <si>
    <t>Santiago, Justine</t>
  </si>
  <si>
    <t>Ignacio, Bernardo Jr.</t>
  </si>
  <si>
    <t>Valdez, Joshua</t>
  </si>
  <si>
    <t>Santos, Marc Gabriel</t>
  </si>
  <si>
    <t>Visagas, Fairy</t>
  </si>
  <si>
    <t>Indab, Viena Mae</t>
  </si>
  <si>
    <t>Yacub, Dustin</t>
  </si>
  <si>
    <t>Sebastian, John Kenneth</t>
  </si>
  <si>
    <t>Inovejas, Cebastian Andrei</t>
  </si>
  <si>
    <t>Serrano, Gabriel Pocholo</t>
  </si>
  <si>
    <t>Lanting, Stephanie May</t>
  </si>
  <si>
    <t>So, Riel</t>
  </si>
  <si>
    <t>Lazaro, Marian Noem</t>
  </si>
  <si>
    <t>Toca, Denmar</t>
  </si>
  <si>
    <t>BSCS 2D</t>
  </si>
  <si>
    <t>Lim, Dianna Fhaye</t>
  </si>
  <si>
    <t>BSCS 2E</t>
  </si>
  <si>
    <t>LLido, Julie Mae</t>
  </si>
  <si>
    <t>Luminding, Ruferth Jemz</t>
  </si>
  <si>
    <t>https://tinyurl.com/gcCS2D</t>
  </si>
  <si>
    <t>https://tinyurl.com/gcCS2E</t>
  </si>
  <si>
    <t>Lustre, John Paul</t>
  </si>
  <si>
    <t>Manzano, Joriz Elijah</t>
  </si>
  <si>
    <t>Medina, Merry Christel Joan</t>
  </si>
  <si>
    <t>Mendiola, Robert</t>
  </si>
  <si>
    <t>Monterola, Kevin James</t>
  </si>
  <si>
    <t>Almeda, Dean Mark</t>
  </si>
  <si>
    <t>Nisperos, Dharleen</t>
  </si>
  <si>
    <t>Aquino, Matthew Chloe</t>
  </si>
  <si>
    <t>Bacani, Mcsamchie</t>
  </si>
  <si>
    <t>Nuevo, John Michael</t>
  </si>
  <si>
    <t>Abaga, Jan Vincent</t>
  </si>
  <si>
    <t>BSCS 2F</t>
  </si>
  <si>
    <t>Baturiano, Jared</t>
  </si>
  <si>
    <t>Omang, Rhenz Alfred</t>
  </si>
  <si>
    <t>Britania, Kheneth</t>
  </si>
  <si>
    <t>Alagueña, Jarl</t>
  </si>
  <si>
    <t>Paclar, Louige</t>
  </si>
  <si>
    <t>Cabillan, Aliya</t>
  </si>
  <si>
    <t>Andaya, Brian Paul</t>
  </si>
  <si>
    <t>Cabrito, Quer Dustin</t>
  </si>
  <si>
    <t>Parian, Ruel Jr</t>
  </si>
  <si>
    <t>Caducio, Prince Leinard</t>
  </si>
  <si>
    <t>Arizala, Marc Daycery</t>
  </si>
  <si>
    <t>Portugal, Trishtan</t>
  </si>
  <si>
    <t>Calaguio, Drake Stephen</t>
  </si>
  <si>
    <t>https://tinyurl.com/gcCS2F</t>
  </si>
  <si>
    <t>Bate, Jan Mariel</t>
  </si>
  <si>
    <t>Ragel, Uno Daniel</t>
  </si>
  <si>
    <t>Blas, James Nathaniel</t>
  </si>
  <si>
    <t>Carbonel, Carl Justine</t>
  </si>
  <si>
    <t>Recaña, Mike</t>
  </si>
  <si>
    <t>Chicano, Maverick Gian</t>
  </si>
  <si>
    <t>Bulahao, Eaien</t>
  </si>
  <si>
    <t>Cordis, James Bryner</t>
  </si>
  <si>
    <t>Reyes, Arianne Louise</t>
  </si>
  <si>
    <t>Calceta, Andre Timothy</t>
  </si>
  <si>
    <t>Dorimon, Janssen Kyle</t>
  </si>
  <si>
    <t>Entimano, Arthian</t>
  </si>
  <si>
    <t>Costa, Martin Jhon Laurence</t>
  </si>
  <si>
    <t>Esmundo, Jennifer</t>
  </si>
  <si>
    <t>Abon, Benedict</t>
  </si>
  <si>
    <t>Daco, Denise Erica</t>
  </si>
  <si>
    <t>Estimos, Prince Rj</t>
  </si>
  <si>
    <t>Abu Al-rub, Eissa</t>
  </si>
  <si>
    <t>Rosco, Marck Den-uel</t>
  </si>
  <si>
    <t>Demdem, Dennis Jr.</t>
  </si>
  <si>
    <t>Falcon, Bernard Jefferson</t>
  </si>
  <si>
    <t>Alvaro, Bryan</t>
  </si>
  <si>
    <t>Saberola, Rence</t>
  </si>
  <si>
    <t>Guazon, Jesalyn</t>
  </si>
  <si>
    <t>Ander, Daniel Javez</t>
  </si>
  <si>
    <t>Dumali, Erns</t>
  </si>
  <si>
    <t>Gumangan, Kian Karlo</t>
  </si>
  <si>
    <t>Asis, John Paul</t>
  </si>
  <si>
    <t>Sarmiento, David Hans</t>
  </si>
  <si>
    <t>Flora, Raven Ray</t>
  </si>
  <si>
    <t>Gutay, Renjo</t>
  </si>
  <si>
    <t>Aureus, Lorenzo Angelo</t>
  </si>
  <si>
    <t>Sibullas, John Nhier Ian</t>
  </si>
  <si>
    <t>Bariniano, Norman</t>
  </si>
  <si>
    <t>Icawalo, Jonald</t>
  </si>
  <si>
    <t>Silvestre, Sean Stephen</t>
  </si>
  <si>
    <t>Gabon, Jasper Paul</t>
  </si>
  <si>
    <t>Bautista, Justine</t>
  </si>
  <si>
    <t>Ignacio, Van Kenedick</t>
  </si>
  <si>
    <t>Bayon, Cedrick John</t>
  </si>
  <si>
    <t>Torio, Marc Angelo</t>
  </si>
  <si>
    <t>Lagordo, Eizzle Rey</t>
  </si>
  <si>
    <t>Gajelonia, Samantha</t>
  </si>
  <si>
    <t>Burce, John Lester</t>
  </si>
  <si>
    <t>Larita, Ramil</t>
  </si>
  <si>
    <t>Trinidad, Ashlei Nicole</t>
  </si>
  <si>
    <t>Cantiga, John Vincent</t>
  </si>
  <si>
    <t>Lavalle, John Chris</t>
  </si>
  <si>
    <t>Genova, Cedrick</t>
  </si>
  <si>
    <t>Logronio, Klent Aljean</t>
  </si>
  <si>
    <t>Cordez, Ian Renz</t>
  </si>
  <si>
    <t>Geronimo, Alexis</t>
  </si>
  <si>
    <t>Villanobos, Gem Alira</t>
  </si>
  <si>
    <t>Lozano, Yuwan</t>
  </si>
  <si>
    <t>De Vera, Jhon Paul</t>
  </si>
  <si>
    <t>Magaan, Ace Andrei</t>
  </si>
  <si>
    <t>Gozo, Cyruz Jacent</t>
  </si>
  <si>
    <t>Magallanes, Renalyn</t>
  </si>
  <si>
    <t>Dela Torre, Ritzmond</t>
  </si>
  <si>
    <t>Juson, Rob Joshua</t>
  </si>
  <si>
    <t>Majam, Clyde Darien</t>
  </si>
  <si>
    <t>Deluza, Krizha Mae</t>
  </si>
  <si>
    <t>Labawan, Rakisha</t>
  </si>
  <si>
    <t>Mendoza, Joshua</t>
  </si>
  <si>
    <t>Desoloc, John Rafael</t>
  </si>
  <si>
    <t>Lopez, Adrienne Jheyk</t>
  </si>
  <si>
    <t>Mendoza, Rafael Vramic</t>
  </si>
  <si>
    <t>Diño, Althea Mae</t>
  </si>
  <si>
    <t>Mondia, Brylle</t>
  </si>
  <si>
    <t>Luniza, Viansey Nicole</t>
  </si>
  <si>
    <t>Dumlao, Chito Vergel</t>
  </si>
  <si>
    <t>Monteras, Dhen Stephen</t>
  </si>
  <si>
    <t>Ebol, Allan Patrick</t>
  </si>
  <si>
    <t>Mosende, Necar</t>
  </si>
  <si>
    <t>Mahinay, Khristopher</t>
  </si>
  <si>
    <t>Elcano, Kenneth</t>
  </si>
  <si>
    <t>Neri, Stevhin</t>
  </si>
  <si>
    <t>Ellorin, Stephanie</t>
  </si>
  <si>
    <t>Maningas, Jasper</t>
  </si>
  <si>
    <t>Nival, Jeferson</t>
  </si>
  <si>
    <t>Esposo, Nathalie</t>
  </si>
  <si>
    <t>BSCS 2G</t>
  </si>
  <si>
    <t>Mapanao, Bernard</t>
  </si>
  <si>
    <t>Pablo, Elmar</t>
  </si>
  <si>
    <t>Gagasa, Nicole</t>
  </si>
  <si>
    <t>Pacuan, Jordan</t>
  </si>
  <si>
    <t>Gapasangra, Michael Jay</t>
  </si>
  <si>
    <t>Mendoza, Christian Angelo</t>
  </si>
  <si>
    <t>Panim, Jerome</t>
  </si>
  <si>
    <t>Gonio, Mark</t>
  </si>
  <si>
    <t>Mercado, Ron Steven</t>
  </si>
  <si>
    <t>Gonzales, Jeric</t>
  </si>
  <si>
    <t>Parcon, Billy</t>
  </si>
  <si>
    <t>https://tinyurl.com/gcCS2G</t>
  </si>
  <si>
    <t>Nabong, Alyza Ruth</t>
  </si>
  <si>
    <t>Gumban, Shane Mae</t>
  </si>
  <si>
    <t>Peña, Jan Aldred</t>
  </si>
  <si>
    <t>Pabia, John Lloyd</t>
  </si>
  <si>
    <t>Hila, Mark Guillen</t>
  </si>
  <si>
    <t>Parreñas, Renz Matthew</t>
  </si>
  <si>
    <t>Rarugal, Justine</t>
  </si>
  <si>
    <t>Ponce, Mikoh</t>
  </si>
  <si>
    <t>Jarillo, Harold</t>
  </si>
  <si>
    <t>Regino, Miguel</t>
  </si>
  <si>
    <t>Quizon, Jewel Ann</t>
  </si>
  <si>
    <t>Lara, Jhoana Kim</t>
  </si>
  <si>
    <t>Relente, Luigi</t>
  </si>
  <si>
    <t>Republica, Craig Roznald Onyx</t>
  </si>
  <si>
    <t>Lim, Stephen</t>
  </si>
  <si>
    <t>Sagun, Jaylord</t>
  </si>
  <si>
    <t>Roque, Maria Nicole</t>
  </si>
  <si>
    <t>Lorenzo, Joyeux Riel</t>
  </si>
  <si>
    <t>Salazar, John Louie</t>
  </si>
  <si>
    <t>Bacnat, Alexis</t>
  </si>
  <si>
    <t>Saez, Eunice</t>
  </si>
  <si>
    <t>Lorenzo, Rain</t>
  </si>
  <si>
    <t>Sambuang, Carlo</t>
  </si>
  <si>
    <t>Benedicto, Rhizalino Josh</t>
  </si>
  <si>
    <t>Madronero, Richelle Ann</t>
  </si>
  <si>
    <t>Sagun, Francis Kirk</t>
  </si>
  <si>
    <t>Sayas, Deiniel Josh Nico</t>
  </si>
  <si>
    <t>Cadag, Joshua</t>
  </si>
  <si>
    <t>Corpin, John Fernando</t>
  </si>
  <si>
    <t>Manlulu, Rodrigo III</t>
  </si>
  <si>
    <t>Talavera, Vince Joshua</t>
  </si>
  <si>
    <t>Santos, Charles Renzell</t>
  </si>
  <si>
    <t>Cuagdan, Vince Angello</t>
  </si>
  <si>
    <t>Marcos, Charlie</t>
  </si>
  <si>
    <t>Teo, Kenjie</t>
  </si>
  <si>
    <t>Dantes, Windy Leigh</t>
  </si>
  <si>
    <t>Suzuki, Cheska</t>
  </si>
  <si>
    <t>De Vera, Hazel</t>
  </si>
  <si>
    <t>Taborda, Laurence</t>
  </si>
  <si>
    <t>Mentino, Eugene</t>
  </si>
  <si>
    <t>Tapel, Jomar</t>
  </si>
  <si>
    <t>Dela Pacion, Adrian</t>
  </si>
  <si>
    <t>Fuentes, Nica Trish</t>
  </si>
  <si>
    <t>Teves, Marcbil Dioner</t>
  </si>
  <si>
    <t>Nieto, Joanna Mae</t>
  </si>
  <si>
    <t>Gersalia, Zecharia</t>
  </si>
  <si>
    <t>Paquera, Hanna</t>
  </si>
  <si>
    <t>Huertas, Audrey</t>
  </si>
  <si>
    <t>Tulio, Jacob</t>
  </si>
  <si>
    <t>Penoliar, Mike Benedick</t>
  </si>
  <si>
    <t>Veruen, Ralph Vincent</t>
  </si>
  <si>
    <t>Pentecostes, Jacky</t>
  </si>
  <si>
    <t>Lapiz, John Michael</t>
  </si>
  <si>
    <t>Polvoriza, Jaderick</t>
  </si>
  <si>
    <t>BSCS 2H</t>
  </si>
  <si>
    <t>Requillo, Gian</t>
  </si>
  <si>
    <t>Ledesma, Jhillian</t>
  </si>
  <si>
    <t>Rustia, John Dave</t>
  </si>
  <si>
    <t>Vicente, Richmond</t>
  </si>
  <si>
    <t>Lustre, Justine Lee</t>
  </si>
  <si>
    <t>Santillan, Kurt Justin</t>
  </si>
  <si>
    <t>Villegas, Alexi Kyle</t>
  </si>
  <si>
    <t>Maculanlan, Louis Ken</t>
  </si>
  <si>
    <t>Sincero, Jimmela</t>
  </si>
  <si>
    <t>Arendayen, Mark Ryan</t>
  </si>
  <si>
    <t>Maliño, Felix</t>
  </si>
  <si>
    <t>Suello, Rosel</t>
  </si>
  <si>
    <t>Fortin, Seimer Irayeh</t>
  </si>
  <si>
    <t>Mamay, Justin Anthony</t>
  </si>
  <si>
    <t>Jardin, Melvin John</t>
  </si>
  <si>
    <t>Tugade, John Paul</t>
  </si>
  <si>
    <t>Milla, Jochris</t>
  </si>
  <si>
    <t>Panizales, Charles Everson</t>
  </si>
  <si>
    <t>Vanzuela, Jake Anthony</t>
  </si>
  <si>
    <t>Nobleza, Rose Marie</t>
  </si>
  <si>
    <t>Velasquez, Bernadette Mae</t>
  </si>
  <si>
    <t>Paraboles, Curt Damiel</t>
  </si>
  <si>
    <t>Pepping, Francheska</t>
  </si>
  <si>
    <t>Perez, Sean Andrei</t>
  </si>
  <si>
    <t>Picayo, Michael Angelo</t>
  </si>
  <si>
    <t>BSCS 3A</t>
  </si>
  <si>
    <t>Timagos, Brian Cyrus</t>
  </si>
  <si>
    <t>Torres, Matthew Andrei</t>
  </si>
  <si>
    <t>Valmocena, Adrianne</t>
  </si>
  <si>
    <t>Villamor, Raileigh</t>
  </si>
  <si>
    <t>BSCS 3B</t>
  </si>
  <si>
    <t>https://tinyurl.com/gcCS3A</t>
  </si>
  <si>
    <t>SCHEDULE: 7:00 AM - 11:00 AM</t>
  </si>
  <si>
    <t>https://tinyurl.com/gcCS3B</t>
  </si>
  <si>
    <t>Abad, Kaezer Ketch</t>
  </si>
  <si>
    <t>SCHEDULE: 11:00 AM - 3:00 PM</t>
  </si>
  <si>
    <t>Acuña, Emmanuel Jay</t>
  </si>
  <si>
    <t>Aguibay, John Lester</t>
  </si>
  <si>
    <t>Alanes, Gabriel</t>
  </si>
  <si>
    <t>Aquino, Czar Carlo</t>
  </si>
  <si>
    <t>Arañes, Mark Lester</t>
  </si>
  <si>
    <t>Arligue, Edward</t>
  </si>
  <si>
    <t>Arcibal Jr., Romiel</t>
  </si>
  <si>
    <t>Baldoz, Jesnin Roneshi</t>
  </si>
  <si>
    <t>Arroyo, John Mike</t>
  </si>
  <si>
    <t>Bagsican, Krby</t>
  </si>
  <si>
    <t>Banzalan, Kristine Joy</t>
  </si>
  <si>
    <t>Baraacal, Arham</t>
  </si>
  <si>
    <t>Bilgera, Neo Charlie</t>
  </si>
  <si>
    <t>Cabico, Chris Allen Quiming</t>
  </si>
  <si>
    <t>Bermudez, Karl Medwin</t>
  </si>
  <si>
    <t>Castro, Mikayla Joelle</t>
  </si>
  <si>
    <t>Besa, Clarence</t>
  </si>
  <si>
    <t>Diaz, Jasmine</t>
  </si>
  <si>
    <t>Elisan, Lander</t>
  </si>
  <si>
    <t>Embestro, Kenn Earvin</t>
  </si>
  <si>
    <t>Betasolo, Brian</t>
  </si>
  <si>
    <t>Erandio, Joshua Lynndon</t>
  </si>
  <si>
    <t>Esparrago, Dominic</t>
  </si>
  <si>
    <t>Caingat, Andrei Allen</t>
  </si>
  <si>
    <t>Galano, John Paul</t>
  </si>
  <si>
    <t>Cardona, Kenneth Paul</t>
  </si>
  <si>
    <t>Gapuz, Grace</t>
  </si>
  <si>
    <t>Castor, Jan Cyril</t>
  </si>
  <si>
    <t>Gatchalian, Jericho Ross</t>
  </si>
  <si>
    <t>Gultia, Jude Andrei</t>
  </si>
  <si>
    <t>Dela Cruz, Cris Lenard</t>
  </si>
  <si>
    <t>BSCS 3D</t>
  </si>
  <si>
    <t>Hagad, Jonathan Paulo</t>
  </si>
  <si>
    <t>BSCS 3C</t>
  </si>
  <si>
    <t>Delos Reyes, Darius John</t>
  </si>
  <si>
    <t>Honrado, John Dave</t>
  </si>
  <si>
    <t>Dilag, Prince Doniel</t>
  </si>
  <si>
    <t>Lancanan, Alvin Jay</t>
  </si>
  <si>
    <t>Dolar, Jonald</t>
  </si>
  <si>
    <t>Mangontra, Hamem</t>
  </si>
  <si>
    <t>https://tinyurl.com/gcCS3D</t>
  </si>
  <si>
    <t>Dubluis, Kiss</t>
  </si>
  <si>
    <t>Mendez, Maxyne Nicole</t>
  </si>
  <si>
    <t>Mollejon, Fritz</t>
  </si>
  <si>
    <t>Esmenos, Christer</t>
  </si>
  <si>
    <t>https://tinyurl.com/gcCS3C</t>
  </si>
  <si>
    <t>Montañez, Roman</t>
  </si>
  <si>
    <t>Francisco, Nathaniel</t>
  </si>
  <si>
    <t>Natividad, John Cody</t>
  </si>
  <si>
    <t>Nava, Archie</t>
  </si>
  <si>
    <t>Fresto, Cleave Cole</t>
  </si>
  <si>
    <t>SCHEDULE: 3:00 PM - 7:00 PM</t>
  </si>
  <si>
    <t>Gonzales, Ethan Raizel</t>
  </si>
  <si>
    <t>Abesamis, Maria Teresa Carla</t>
  </si>
  <si>
    <t>Oabina, Mark John Paul</t>
  </si>
  <si>
    <t>Perez, Angela</t>
  </si>
  <si>
    <t>Ibarra, John Lloyd</t>
  </si>
  <si>
    <t>Alegado, Elmer Jr.</t>
  </si>
  <si>
    <t>Perez, Angelica</t>
  </si>
  <si>
    <t>Adolfo, Elijah Wade</t>
  </si>
  <si>
    <t>Aliggayu, Ethan Maverick</t>
  </si>
  <si>
    <t>Intac, Renier</t>
  </si>
  <si>
    <t>Pineda, Lance</t>
  </si>
  <si>
    <t>Asuncion, Loisse Michael</t>
  </si>
  <si>
    <t>Algaba, James</t>
  </si>
  <si>
    <t>Koshimizu, Eijie</t>
  </si>
  <si>
    <t>Roda, Nicole Anne</t>
  </si>
  <si>
    <t>Ayunan, Josenne Kimberly</t>
  </si>
  <si>
    <t>Romero II, Ruben</t>
  </si>
  <si>
    <t>Amolo, Ryan James</t>
  </si>
  <si>
    <t>Lucena, John Paul</t>
  </si>
  <si>
    <t>Bacunawa, Denver Younge</t>
  </si>
  <si>
    <t>Sausa, Benidict</t>
  </si>
  <si>
    <t>Ander, Debie Joy</t>
  </si>
  <si>
    <t>Badiola, Martin Deil</t>
  </si>
  <si>
    <t>Mapa, Sean Rovick</t>
  </si>
  <si>
    <t>Silvio, Abby Jonina</t>
  </si>
  <si>
    <t>Bait-it, Raiza</t>
  </si>
  <si>
    <t>Balbin, John Paul</t>
  </si>
  <si>
    <t>Sobremonte, Rilliana Jocas</t>
  </si>
  <si>
    <t>Masangcay, Denver</t>
  </si>
  <si>
    <t>Balingit, Krizmonika Blezy</t>
  </si>
  <si>
    <t>Barcelo, Raven Joshua</t>
  </si>
  <si>
    <t>Solis, Cris Laurence</t>
  </si>
  <si>
    <t>Basilio, Hannah Kim</t>
  </si>
  <si>
    <t>Mateo, Shanene Britney</t>
  </si>
  <si>
    <t>Barral, Leoven</t>
  </si>
  <si>
    <t>Sollestre, Oswald Romuel</t>
  </si>
  <si>
    <t>Bayog, Russell Adrian</t>
  </si>
  <si>
    <t>Melliza, Tiffany Faye</t>
  </si>
  <si>
    <t>Suaverdez, Sam Joshua</t>
  </si>
  <si>
    <t>Bautista, Mark David</t>
  </si>
  <si>
    <t>Belen, Andrei Jhared</t>
  </si>
  <si>
    <t>Mendez Jr., Romeo</t>
  </si>
  <si>
    <t>Bolon, Samantha</t>
  </si>
  <si>
    <t>Suren, Jeremiah Luis</t>
  </si>
  <si>
    <t>Benitez, Kurt Justine</t>
  </si>
  <si>
    <t>Millano, Kenneth Jhon Louise</t>
  </si>
  <si>
    <t>Cadiz, Khalil</t>
  </si>
  <si>
    <t>Tabiolo, Precious Aira</t>
  </si>
  <si>
    <t>Castelo, Oliver Tristan</t>
  </si>
  <si>
    <t>Cagape, Alexis Leonel</t>
  </si>
  <si>
    <t>Mirar, Carlo Ace</t>
  </si>
  <si>
    <t>Tagayong, Jonard</t>
  </si>
  <si>
    <t>Canda, Tricia Janen</t>
  </si>
  <si>
    <t>Cauzon, Kean David</t>
  </si>
  <si>
    <t>Montaño, Tricia Mae</t>
  </si>
  <si>
    <t>Wahing Jr., Samuel Lito</t>
  </si>
  <si>
    <t>Catapang, Kurt Kristianzen</t>
  </si>
  <si>
    <t>Cañeso, Ernesto Peter</t>
  </si>
  <si>
    <t>Montesa, Jamir</t>
  </si>
  <si>
    <t>Colon, John Laurence</t>
  </si>
  <si>
    <t>Wahing, Shiela Marie</t>
  </si>
  <si>
    <t>Centino, Jonavie</t>
  </si>
  <si>
    <t>Muñoz, Fionna Mhae</t>
  </si>
  <si>
    <t>Zuñiga, Estrelita Juliana</t>
  </si>
  <si>
    <t>Cometa, Joel</t>
  </si>
  <si>
    <t>Coralde, Lorraine</t>
  </si>
  <si>
    <t>Osorio, Shan Levitiel</t>
  </si>
  <si>
    <t>Datu, Ara Lindzay</t>
  </si>
  <si>
    <t>Cortez, Magdalina</t>
  </si>
  <si>
    <t>De Jesus, Romnell</t>
  </si>
  <si>
    <t>Pinili, Cassumi Kieth</t>
  </si>
  <si>
    <t>Dequeña, Justin</t>
  </si>
  <si>
    <t>Dasian, Angel</t>
  </si>
  <si>
    <t>Poblar, Zaimhon</t>
  </si>
  <si>
    <t>Esparrago Jr., Xander Charles</t>
  </si>
  <si>
    <t>Delluza, Margaretha</t>
  </si>
  <si>
    <t>Ramos, Charlle Dhuztyn</t>
  </si>
  <si>
    <t>Garcia, Brenan Andrei</t>
  </si>
  <si>
    <t>Rosario, Wendelynne</t>
  </si>
  <si>
    <t>Eder, Bernard Prince</t>
  </si>
  <si>
    <t>Gonzales, Cholo</t>
  </si>
  <si>
    <t>Salonga, Samantha</t>
  </si>
  <si>
    <t>Escaño, Joshua Erin</t>
  </si>
  <si>
    <t>Talagtag, Ruszel</t>
  </si>
  <si>
    <t>Gutay, Rhomar</t>
  </si>
  <si>
    <t>Ticman, Khiember Lee</t>
  </si>
  <si>
    <t>BSCS 3E</t>
  </si>
  <si>
    <t>Honrado, Arnold</t>
  </si>
  <si>
    <t>Fajardo, Macrenz</t>
  </si>
  <si>
    <t>Ignacio, Liemar</t>
  </si>
  <si>
    <t>Fernandez, Janelle</t>
  </si>
  <si>
    <t>Villarin, Khaen Sebastian</t>
  </si>
  <si>
    <t>Juan, Laurence</t>
  </si>
  <si>
    <t>Gabiola, Aries Joyshane</t>
  </si>
  <si>
    <t>Lazo, Dave</t>
  </si>
  <si>
    <t>https://tinyurl.com/gcCS3E</t>
  </si>
  <si>
    <t>Lopez, Kent Louis</t>
  </si>
  <si>
    <t>Galanaga, John Paul</t>
  </si>
  <si>
    <t>Macias, Antonio III</t>
  </si>
  <si>
    <t>Garcia, Emil Aikee</t>
  </si>
  <si>
    <t>Mendoza, Jerico</t>
  </si>
  <si>
    <t>Hernandez, Ron Rien</t>
  </si>
  <si>
    <t>Nabong, Angelika</t>
  </si>
  <si>
    <t>Jacobo, Tricia Mae</t>
  </si>
  <si>
    <t>Payumo, Jay Tristan</t>
  </si>
  <si>
    <t>Jerusalem, James Leo</t>
  </si>
  <si>
    <t>Altez, Jessa Mae</t>
  </si>
  <si>
    <t>BSCS 3F</t>
  </si>
  <si>
    <t>Asis, Lordelin</t>
  </si>
  <si>
    <t>Quirabu, Edhieson</t>
  </si>
  <si>
    <t>Laraga, Jake Jomer</t>
  </si>
  <si>
    <t>Badoy, Carlson David</t>
  </si>
  <si>
    <t>Ranara, Pamela</t>
  </si>
  <si>
    <t>Magdaraog, Rashiel Joy</t>
  </si>
  <si>
    <t>https://tinyurl.com/gcCS3F</t>
  </si>
  <si>
    <t>Bagasina, John Jasper</t>
  </si>
  <si>
    <t>Malate, Bryan Matthew</t>
  </si>
  <si>
    <t>Repita, Joshua</t>
  </si>
  <si>
    <t>Bagsic, Angel Catherine</t>
  </si>
  <si>
    <t>Mallari, Vance</t>
  </si>
  <si>
    <t>Reyes, Yancy</t>
  </si>
  <si>
    <t>Baloloy, Justin Pearl</t>
  </si>
  <si>
    <t>Mondrano, Kenneth Shawn</t>
  </si>
  <si>
    <t>Bulanier, Lyrhine</t>
  </si>
  <si>
    <t>Saludo, Gemwell</t>
  </si>
  <si>
    <t>Nadela, Bryan Andrew</t>
  </si>
  <si>
    <t>Tagle, Hanna Kim</t>
  </si>
  <si>
    <t>Nuyles, Jayvie</t>
  </si>
  <si>
    <t>Calica, Mike Gerald</t>
  </si>
  <si>
    <t>Teming, Jhon Rhonny</t>
  </si>
  <si>
    <t>Ocampo, Rasheed</t>
  </si>
  <si>
    <t>Casim, Jenilyn</t>
  </si>
  <si>
    <t>Paclar, Aldreth Jhon</t>
  </si>
  <si>
    <t>Tugade, Princess</t>
  </si>
  <si>
    <t>Pillon, John Lister</t>
  </si>
  <si>
    <t>Castro, Alliah</t>
  </si>
  <si>
    <t>Velasquez, James</t>
  </si>
  <si>
    <t>Aguilar, Xian Andrei</t>
  </si>
  <si>
    <t>Ramirez, Ramon</t>
  </si>
  <si>
    <t>Cañete, Ryza Jane</t>
  </si>
  <si>
    <t>Ansary, Norfaida</t>
  </si>
  <si>
    <t>Repas, Millard Ken</t>
  </si>
  <si>
    <t>Cordero, Rhylle Cristion</t>
  </si>
  <si>
    <t>Baetiong, Aaron Kiel</t>
  </si>
  <si>
    <t>Salino, Jhrico</t>
  </si>
  <si>
    <t>Dalisay, Ella Marie</t>
  </si>
  <si>
    <t>Balais, Nicolas Iñigo</t>
  </si>
  <si>
    <t>Santander, Jasmine</t>
  </si>
  <si>
    <t>Baldres, Kristine</t>
  </si>
  <si>
    <t>Diaz, Carla</t>
  </si>
  <si>
    <t>Silvestre, Rick James</t>
  </si>
  <si>
    <t>Ballatan, Christopher July</t>
  </si>
  <si>
    <t>Esparza, Ryzza</t>
  </si>
  <si>
    <t>Fulgencio, Elaiza Lujhille</t>
  </si>
  <si>
    <t>Batang, Charls Jencent</t>
  </si>
  <si>
    <t>Virata, Glory Clare</t>
  </si>
  <si>
    <t>BSCS 4A</t>
  </si>
  <si>
    <t>Horquia, John Lie Niño</t>
  </si>
  <si>
    <t>Besa, Cathrina</t>
  </si>
  <si>
    <t>Mabini, Jhanna Rose</t>
  </si>
  <si>
    <t>Calimoso, Princess</t>
  </si>
  <si>
    <t>Malate, Vergie</t>
  </si>
  <si>
    <t>Darole, Rosena</t>
  </si>
  <si>
    <t>Malic, Wenchie Lara</t>
  </si>
  <si>
    <t>Dedona, Gian Mico</t>
  </si>
  <si>
    <t>https://tinyurl.com/gcCS4A</t>
  </si>
  <si>
    <t>Marcial, Lovely</t>
  </si>
  <si>
    <t>Del Rosario, Christopher Kyle</t>
  </si>
  <si>
    <t>Mendina, Christian</t>
  </si>
  <si>
    <t>Del Rosario, Renoirr Roche</t>
  </si>
  <si>
    <t>Mendoza, Shanine Andrea</t>
  </si>
  <si>
    <t>Dela Cruz, Aldhen</t>
  </si>
  <si>
    <t>Mills, Charlple</t>
  </si>
  <si>
    <t>BSCS 4B</t>
  </si>
  <si>
    <t>Dichosa, Kurt Jandrie</t>
  </si>
  <si>
    <t>SCHEDULE: 7:00 AM - 11:30 AM</t>
  </si>
  <si>
    <t>Miralles, Miguel Angelo</t>
  </si>
  <si>
    <t>Eduardo, Andrei Rendelle</t>
  </si>
  <si>
    <t>Molina, Rogelio II</t>
  </si>
  <si>
    <t>Epanto, John Zenan</t>
  </si>
  <si>
    <t>Nallares, John Melbert</t>
  </si>
  <si>
    <t>Eriño, Arjay</t>
  </si>
  <si>
    <t>Abrigo, Abrahm Reymar</t>
  </si>
  <si>
    <t>Obenza, Rome Randel</t>
  </si>
  <si>
    <t>https://tinyurl.com/gcCS4B</t>
  </si>
  <si>
    <t>Fajardo, Joshua</t>
  </si>
  <si>
    <t>Andaya, Francis Ivan</t>
  </si>
  <si>
    <t>Ogalesco, Xianne Jae</t>
  </si>
  <si>
    <t>Galvan, John Ildefonso</t>
  </si>
  <si>
    <t>Baniqued, Lee Anjhello</t>
  </si>
  <si>
    <t>Genise, Avegail</t>
  </si>
  <si>
    <t>Ojadas, JR</t>
  </si>
  <si>
    <t>Bautista, Mark Lim</t>
  </si>
  <si>
    <t>Oyo-a, Mark</t>
  </si>
  <si>
    <t>Inopiquez, Jobert</t>
  </si>
  <si>
    <t>Blasabas, Steven</t>
  </si>
  <si>
    <t>SCHEDULE: 11:30 AM - 4:00 PM</t>
  </si>
  <si>
    <t>Palapal, Melissa Kate</t>
  </si>
  <si>
    <t>Magdaraog, Ciszie</t>
  </si>
  <si>
    <t>Buban, John Lenard</t>
  </si>
  <si>
    <t>Papeleras, Joseph</t>
  </si>
  <si>
    <t>Cabando, Mark Nikko</t>
  </si>
  <si>
    <t>Mendoza, Marc Angelo</t>
  </si>
  <si>
    <t>Pillarda, John Lloyd</t>
  </si>
  <si>
    <t>Capricho, Nelord</t>
  </si>
  <si>
    <t>Mondares, Gabriel</t>
  </si>
  <si>
    <t>Posadas, Kiel Rovic</t>
  </si>
  <si>
    <t>Cañotal, Jhonas Angelo</t>
  </si>
  <si>
    <t>Priel, Ashley Mae</t>
  </si>
  <si>
    <t>Abigan, Michael</t>
  </si>
  <si>
    <t>Nono, Francis Nico</t>
  </si>
  <si>
    <t>Cerbito, Cj</t>
  </si>
  <si>
    <t>Ramos, Erika</t>
  </si>
  <si>
    <t>Rivera, Raymon Bernard</t>
  </si>
  <si>
    <t>Regondola, Kishie Ashkenaz</t>
  </si>
  <si>
    <t>Colico, John Marc</t>
  </si>
  <si>
    <t>Amante, Christine</t>
  </si>
  <si>
    <t>Ruiz, Justine</t>
  </si>
  <si>
    <t>Relente, Janelle</t>
  </si>
  <si>
    <t>Dela Vega, Myra</t>
  </si>
  <si>
    <t>Arenal, Alvin</t>
  </si>
  <si>
    <t>Rentoria, Merializa</t>
  </si>
  <si>
    <t>Domanico, Angelito</t>
  </si>
  <si>
    <t>Ruña, Ian Dave</t>
  </si>
  <si>
    <t>Rose, Adrian</t>
  </si>
  <si>
    <t>Aresta, Rancelot</t>
  </si>
  <si>
    <t>Dulot, Dominic Jhon</t>
  </si>
  <si>
    <t>Sesina, John Russel</t>
  </si>
  <si>
    <t>San Jose, Angelo</t>
  </si>
  <si>
    <t>Baguio, Juliana</t>
  </si>
  <si>
    <t>Dumo, Paul Neilbryl</t>
  </si>
  <si>
    <t>Siena, Erica</t>
  </si>
  <si>
    <t>Sarga, Justine Neil</t>
  </si>
  <si>
    <t>Blanco, John Nestlie</t>
  </si>
  <si>
    <t>Susano, Tristan</t>
  </si>
  <si>
    <t>Segundine, Janelle Yesha</t>
  </si>
  <si>
    <t>Brania, Murphius Khen</t>
  </si>
  <si>
    <t>Sevillano, Jeremiah</t>
  </si>
  <si>
    <t>Ebuenga, Jead</t>
  </si>
  <si>
    <t>Soliven, Louella May</t>
  </si>
  <si>
    <t>Tacpalan, David Francis</t>
  </si>
  <si>
    <t>Elcano, Charles Joseph</t>
  </si>
  <si>
    <t>Sombria, Jaymar</t>
  </si>
  <si>
    <t>Torres, Rica</t>
  </si>
  <si>
    <t>Calayag, Niña Mae</t>
  </si>
  <si>
    <t>Escototo, John Benedict</t>
  </si>
  <si>
    <t>Villasista, Charlize Dzefri Lyle</t>
  </si>
  <si>
    <t>Facistol, Simon</t>
  </si>
  <si>
    <t>Casakit, Kent Dunhill</t>
  </si>
  <si>
    <t>Ybanez, Jhonnel</t>
  </si>
  <si>
    <t>Velasco, Eloisa</t>
  </si>
  <si>
    <t>Fernando, Ian Paul</t>
  </si>
  <si>
    <t>Velasco, Raven Jay</t>
  </si>
  <si>
    <t>Costelo, Joshua</t>
  </si>
  <si>
    <t>Flores, Clarence Cris</t>
  </si>
  <si>
    <t>Villena, Osias Christian</t>
  </si>
  <si>
    <t>Flores, Danica Joy</t>
  </si>
  <si>
    <t>Daguio, John Vincent</t>
  </si>
  <si>
    <t>Fortes, Charice Pearl</t>
  </si>
  <si>
    <t>De Guzman, Kristian Neil</t>
  </si>
  <si>
    <t>Gainsan, Ahron</t>
  </si>
  <si>
    <t>Ganalon, Lance Arvy</t>
  </si>
  <si>
    <t>Dee, Danica</t>
  </si>
  <si>
    <t>Gratuito, James</t>
  </si>
  <si>
    <t>Delos Santos, John Red</t>
  </si>
  <si>
    <t>Mabborang, John Alvaro</t>
  </si>
  <si>
    <t>Demo, Rhyanne Grace</t>
  </si>
  <si>
    <t>Magbitang, Enrico</t>
  </si>
  <si>
    <t>BSCS 4C</t>
  </si>
  <si>
    <t>Dumpit, John Michael</t>
  </si>
  <si>
    <t>Matutina, Ben Mar</t>
  </si>
  <si>
    <t>Edra, Fsheimer</t>
  </si>
  <si>
    <t>Medez, Elleah Mae</t>
  </si>
  <si>
    <t>Montañez, Bea</t>
  </si>
  <si>
    <t>Encinas, Justin Lee</t>
  </si>
  <si>
    <t>Montañez, Joana</t>
  </si>
  <si>
    <t>https://tinyurl.com/gcCS4C</t>
  </si>
  <si>
    <t>Engle III, Napoleon</t>
  </si>
  <si>
    <t>Novio, Iris Lyca</t>
  </si>
  <si>
    <t>Noynay, Kassandra Nicole</t>
  </si>
  <si>
    <t>Fabian, Luke</t>
  </si>
  <si>
    <t>Fabroa, Joshua</t>
  </si>
  <si>
    <t>SCHEDULE: 4:00 PM - 8:30 PM</t>
  </si>
  <si>
    <t>Pagala, James Cedrick</t>
  </si>
  <si>
    <t>Giente, James Carl</t>
  </si>
  <si>
    <t>Pamplina, John Carlo</t>
  </si>
  <si>
    <t>Penda, Prince Victor</t>
  </si>
  <si>
    <t>Halili, Irwaynne Noelle</t>
  </si>
  <si>
    <t>Abante, Ian Christopher</t>
  </si>
  <si>
    <t>Ponce, Lorraine</t>
  </si>
  <si>
    <t>Alcantara, Lian Zeth</t>
  </si>
  <si>
    <t>Potestad, Ronald</t>
  </si>
  <si>
    <t>Arellano Jr., Dexter</t>
  </si>
  <si>
    <t>Loo, Swee Fong</t>
  </si>
  <si>
    <t>Añonuevo, Maria Terresa</t>
  </si>
  <si>
    <t>Racelis, Mia</t>
  </si>
  <si>
    <t>Bacorayo, Royet</t>
  </si>
  <si>
    <t>Lumanog, Stephanie James</t>
  </si>
  <si>
    <t>Ramos, Ace Andrei</t>
  </si>
  <si>
    <t>Balbin, Johndrei</t>
  </si>
  <si>
    <t>Luntaga, Jimboy</t>
  </si>
  <si>
    <t>Ramos, John Carl</t>
  </si>
  <si>
    <t>Banay, Axl Rose</t>
  </si>
  <si>
    <t>Madanglog, Richie Bie</t>
  </si>
  <si>
    <t>Rivera, Jhester</t>
  </si>
  <si>
    <t>Barra, Diether Jhon</t>
  </si>
  <si>
    <t>Madrideo, Danica Joyce</t>
  </si>
  <si>
    <t>Benavidez, Re Jerico</t>
  </si>
  <si>
    <t>Rodriguez, James Ralphy</t>
  </si>
  <si>
    <t>Besana, Kurt Harvey</t>
  </si>
  <si>
    <t>Madronero, Rhanzel</t>
  </si>
  <si>
    <t>Ruña, Adriane</t>
  </si>
  <si>
    <t>Bonga, Philip Adrian</t>
  </si>
  <si>
    <t>Saculsan, Carlo</t>
  </si>
  <si>
    <t>Mangao, Beatriz</t>
  </si>
  <si>
    <t>Buniel, Mico Angelo</t>
  </si>
  <si>
    <t>Santos, Felicity Marie</t>
  </si>
  <si>
    <t>Maru, Jodi Elisah</t>
  </si>
  <si>
    <t>Cabillo, Ricky Mark</t>
  </si>
  <si>
    <t>Seña, Precious Anne</t>
  </si>
  <si>
    <t>Molvizar, Aidrian Josh</t>
  </si>
  <si>
    <t>Sta. Ines, Victor Aljon</t>
  </si>
  <si>
    <t>Tiongco, Maia Kiress</t>
  </si>
  <si>
    <t>Moreno, Dorothy Leandra</t>
  </si>
  <si>
    <t>Cada, John Carl</t>
  </si>
  <si>
    <t>Turalba, Carmelita</t>
  </si>
  <si>
    <t>Naman, Mark Aaron</t>
  </si>
  <si>
    <t>Caparas, Jojie</t>
  </si>
  <si>
    <t>Vargas, Manny John Paul</t>
  </si>
  <si>
    <t>Ondoy, Eloisa</t>
  </si>
  <si>
    <t>Carias, Wilma</t>
  </si>
  <si>
    <t>Vista, Carlo</t>
  </si>
  <si>
    <t>Ongcoy, Vic Nathaniel</t>
  </si>
  <si>
    <t>De Guzman, Mark Giann</t>
  </si>
  <si>
    <t>Ortinero, Mark Samuel</t>
  </si>
  <si>
    <t>De Torres, Ralph Joshuel</t>
  </si>
  <si>
    <t>Palamos, Cade Rhussel</t>
  </si>
  <si>
    <t>Faigmani, Xyrus Lance</t>
  </si>
  <si>
    <t>Rabuya, Judy</t>
  </si>
  <si>
    <t>Fernandez, Martin Joaquin</t>
  </si>
  <si>
    <t>Gaje, Mark Patrick</t>
  </si>
  <si>
    <t>Recta, Zedrick Bien Jacob</t>
  </si>
  <si>
    <t>Gapas, Chyrose Chres</t>
  </si>
  <si>
    <t>Recto, Cristian Kyle</t>
  </si>
  <si>
    <t>Garcia, Katherine</t>
  </si>
  <si>
    <t>Rey, Kim Carlo</t>
  </si>
  <si>
    <t>BSCS ENROLLMENT</t>
  </si>
  <si>
    <t>Hisman, Joyce Marielle</t>
  </si>
  <si>
    <t>Hora, Vincent Rafhael</t>
  </si>
  <si>
    <t>Sace, Princes Miccaela</t>
  </si>
  <si>
    <t>Jardin, Mel Jacob</t>
  </si>
  <si>
    <t>Labatete, Melchor Jr</t>
  </si>
  <si>
    <t>Salvador, Jerome</t>
  </si>
  <si>
    <t>Las Prillas, Jay Pee</t>
  </si>
  <si>
    <t>1ST YEAR</t>
  </si>
  <si>
    <t>BSCS ENROLLMENT (ALL STUDENTS from Sectioning)</t>
  </si>
  <si>
    <t>Santillan, Radz</t>
  </si>
  <si>
    <t>Magno, Princess Love</t>
  </si>
  <si>
    <t>SECTION</t>
  </si>
  <si>
    <t>Marte, Dionisio Jr.</t>
  </si>
  <si>
    <t>Sipalay, John Petter</t>
  </si>
  <si>
    <t>Mercado, Nasty Mark</t>
  </si>
  <si>
    <t>TOTAL NO. OF ENROLLED</t>
  </si>
  <si>
    <t>Siruma, John Maiko</t>
  </si>
  <si>
    <t>TOTAL NO. OF ENLISTED</t>
  </si>
  <si>
    <t>Montales, Yhukie</t>
  </si>
  <si>
    <t>TOTAL NO. OF STUDENTS</t>
  </si>
  <si>
    <t>Solibio, John Aaron</t>
  </si>
  <si>
    <t>Moreno, Joseph</t>
  </si>
  <si>
    <t>Ortega, Emmar</t>
  </si>
  <si>
    <t>Sta. Maria, Eliza Ann</t>
  </si>
  <si>
    <t>Pabillo, Czar Isaac</t>
  </si>
  <si>
    <t>Pegarro, Justine</t>
  </si>
  <si>
    <t>Sta. Rita, Renjie</t>
  </si>
  <si>
    <t>Policarpio, Gerard Edison</t>
  </si>
  <si>
    <t>Supnet, Patrish John</t>
  </si>
  <si>
    <t>Resnera, Henrix</t>
  </si>
  <si>
    <t>Tactaquin, Meri Rose Abigayle</t>
  </si>
  <si>
    <t>Roman, John Andrei</t>
  </si>
  <si>
    <t>Terre, Glaidyl</t>
  </si>
  <si>
    <t>Samon, Sherloyd Kenneth</t>
  </si>
  <si>
    <t>Varona, John Michael</t>
  </si>
  <si>
    <t>Sarmiento, Karl Anthony</t>
  </si>
  <si>
    <t>Venzon, Ada Alyssa</t>
  </si>
  <si>
    <t>Sedurifa, Jude</t>
  </si>
  <si>
    <t>Sumandal, Reine Christian</t>
  </si>
  <si>
    <t>Zuñiga, Harold Kim</t>
  </si>
  <si>
    <t>Torres, Geremiah</t>
  </si>
  <si>
    <t>TOTAL NO. OF ENLISTED ONLY</t>
  </si>
  <si>
    <t>Tubice, Aivhen David</t>
  </si>
  <si>
    <t>Uyson, Xandrei</t>
  </si>
  <si>
    <t>Viray, Edrich</t>
  </si>
  <si>
    <t>TOTAL STUDENTS</t>
  </si>
  <si>
    <t>2ND YEAR</t>
  </si>
  <si>
    <t>3RD YEAR</t>
  </si>
  <si>
    <t>4TH YEAR</t>
  </si>
  <si>
    <t>TOTAL NO. OF SECTIONS</t>
  </si>
  <si>
    <t>Updated as of Aug. 11, 2026</t>
  </si>
  <si>
    <t>TOTAL NO. OF SECTION</t>
  </si>
  <si>
    <t>As of 3:00 PM - July 31,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</si>
</sst>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50.0"/>
      <color rgb="FFFFFFFF"/>
      <name val="Verdana"/>
    </font>
    <font/>
    <font>
      <b/>
      <sz val="43.0"/>
      <color rgb="FFFFFFFF"/>
      <name val="Verdana"/>
    </font>
    <font>
      <sz val="14.0"/>
      <color rgb="FFFF0000"/>
      <name val="Verdana"/>
    </font>
    <font>
      <u/>
      <sz val="14.0"/>
      <color rgb="FFFF0000"/>
      <name val="Verdana"/>
    </font>
    <font>
      <sz val="14.0"/>
      <color theme="1"/>
      <name val="Verdana"/>
    </font>
    <font>
      <b/>
      <sz val="14.0"/>
      <color theme="1"/>
      <name val="Verdana"/>
    </font>
    <font>
      <u/>
      <sz val="14.0"/>
      <color rgb="FFFF0000"/>
      <name val="Verdana"/>
    </font>
    <font>
      <u/>
      <sz val="14.0"/>
      <color rgb="FFFF0000"/>
      <name val="Verdana"/>
    </font>
    <font>
      <b/>
      <sz val="13.0"/>
      <color theme="1"/>
      <name val="Verdana"/>
    </font>
    <font>
      <b/>
      <sz val="10.0"/>
      <color theme="1"/>
      <name val="Verdana"/>
    </font>
    <font>
      <b/>
      <sz val="10.0"/>
      <color rgb="FFFF0000"/>
      <name val="Verdana"/>
    </font>
    <font>
      <i/>
      <sz val="11.0"/>
      <color rgb="FFFF0000"/>
      <name val="Verdana"/>
    </font>
    <font>
      <b/>
      <sz val="11.0"/>
      <color theme="1"/>
      <name val="Verdana"/>
    </font>
    <font>
      <b/>
      <sz val="11.0"/>
      <color rgb="FFFF0000"/>
      <name val="Verdana"/>
    </font>
    <font>
      <color theme="1"/>
      <name val="Arial"/>
    </font>
    <font>
      <b/>
      <sz val="14.0"/>
      <color rgb="FFFFFFFF"/>
      <name val="Verdana"/>
    </font>
    <font>
      <color theme="1"/>
      <name val="Verdana"/>
    </font>
    <font>
      <sz val="15.0"/>
      <color rgb="FFFFFFFF"/>
      <name val="Verdana"/>
    </font>
    <font>
      <sz val="11.0"/>
      <color rgb="FF000000"/>
      <name val="Verdana"/>
    </font>
    <font>
      <sz val="15.0"/>
      <color theme="1"/>
      <name val="Verdana"/>
    </font>
    <font>
      <sz val="11.0"/>
      <color theme="1"/>
      <name val="Verdana"/>
    </font>
    <font>
      <b/>
      <sz val="15.0"/>
      <color theme="1"/>
      <name val="Verdana"/>
    </font>
    <font>
      <b/>
      <sz val="12.0"/>
      <color rgb="FFFFFFFF"/>
      <name val="Verdana"/>
    </font>
    <font>
      <b/>
      <sz val="17.0"/>
      <color theme="1"/>
      <name val="Verdana"/>
    </font>
    <font>
      <i/>
      <color rgb="FFFF0000"/>
      <name val="Arial"/>
    </font>
    <font>
      <b/>
      <i/>
      <sz val="11.0"/>
      <color rgb="FFFF0000"/>
      <name val="Verdana"/>
    </font>
    <font>
      <b/>
      <sz val="11.0"/>
      <color rgb="FFFFFFFF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readingOrder="0"/>
    </xf>
    <xf borderId="4" fillId="3" fontId="3" numFmtId="0" xfId="0" applyAlignment="1" applyBorder="1" applyFill="1" applyFont="1">
      <alignment horizontal="center" textRotation="255" vertical="center"/>
    </xf>
    <xf borderId="1" fillId="0" fontId="4" numFmtId="0" xfId="0" applyAlignment="1" applyBorder="1" applyFont="1">
      <alignment vertical="bottom"/>
    </xf>
    <xf borderId="5" fillId="0" fontId="2" numFmtId="0" xfId="0" applyBorder="1" applyFont="1"/>
    <xf borderId="6" fillId="0" fontId="5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1" fillId="0" fontId="6" numFmtId="0" xfId="0" applyAlignment="1" applyBorder="1" applyFont="1">
      <alignment readingOrder="0" vertical="bottom"/>
    </xf>
    <xf borderId="8" fillId="0" fontId="7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/>
    </xf>
    <xf borderId="6" fillId="0" fontId="9" numFmtId="0" xfId="0" applyAlignment="1" applyBorder="1" applyFont="1">
      <alignment readingOrder="0"/>
    </xf>
    <xf borderId="8" fillId="0" fontId="10" numFmtId="0" xfId="0" applyAlignment="1" applyBorder="1" applyFont="1">
      <alignment horizontal="center"/>
    </xf>
    <xf borderId="6" fillId="0" fontId="4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7" fillId="0" fontId="4" numFmtId="0" xfId="0" applyAlignment="1" applyBorder="1" applyFont="1">
      <alignment readingOrder="0" vertical="center"/>
    </xf>
    <xf borderId="8" fillId="0" fontId="11" numFmtId="0" xfId="0" applyAlignment="1" applyBorder="1" applyFont="1">
      <alignment horizontal="center" shrinkToFit="0" vertical="center" wrapText="0"/>
    </xf>
    <xf borderId="8" fillId="0" fontId="11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center" shrinkToFit="0" vertical="center" wrapText="0"/>
    </xf>
    <xf borderId="8" fillId="0" fontId="6" numFmtId="0" xfId="0" applyBorder="1" applyFont="1"/>
    <xf borderId="8" fillId="0" fontId="11" numFmtId="0" xfId="0" applyAlignment="1" applyBorder="1" applyFont="1">
      <alignment horizontal="center" readingOrder="0" shrinkToFit="0" vertical="center" wrapText="0"/>
    </xf>
    <xf borderId="8" fillId="0" fontId="12" numFmtId="0" xfId="0" applyAlignment="1" applyBorder="1" applyFont="1">
      <alignment horizontal="center" readingOrder="0" shrinkToFit="0" vertical="center" wrapText="0"/>
    </xf>
    <xf borderId="8" fillId="0" fontId="11" numFmtId="0" xfId="0" applyAlignment="1" applyBorder="1" applyFont="1">
      <alignment horizontal="center" vertical="center"/>
    </xf>
    <xf borderId="8" fillId="4" fontId="11" numFmtId="0" xfId="0" applyAlignment="1" applyBorder="1" applyFill="1" applyFont="1">
      <alignment horizontal="center" vertical="center"/>
    </xf>
    <xf borderId="1" fillId="0" fontId="13" numFmtId="0" xfId="0" applyAlignment="1" applyBorder="1" applyFont="1">
      <alignment horizontal="center"/>
    </xf>
    <xf borderId="1" fillId="0" fontId="13" numFmtId="0" xfId="0" applyAlignment="1" applyBorder="1" applyFont="1">
      <alignment horizontal="center" readingOrder="0"/>
    </xf>
    <xf borderId="9" fillId="0" fontId="2" numFmtId="0" xfId="0" applyBorder="1" applyFont="1"/>
    <xf borderId="8" fillId="0" fontId="7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left"/>
    </xf>
    <xf borderId="8" fillId="0" fontId="11" numFmtId="0" xfId="0" applyAlignment="1" applyBorder="1" applyFont="1">
      <alignment horizontal="center" shrinkToFit="0" wrapText="0"/>
    </xf>
    <xf borderId="8" fillId="0" fontId="12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/>
    </xf>
    <xf borderId="8" fillId="0" fontId="14" numFmtId="0" xfId="0" applyAlignment="1" applyBorder="1" applyFont="1">
      <alignment horizontal="center" readingOrder="0" vertical="center"/>
    </xf>
    <xf borderId="8" fillId="0" fontId="14" numFmtId="0" xfId="0" applyAlignment="1" applyBorder="1" applyFont="1">
      <alignment horizontal="center" readingOrder="0" shrinkToFit="0" wrapText="0"/>
    </xf>
    <xf borderId="8" fillId="0" fontId="14" numFmtId="0" xfId="0" applyAlignment="1" applyBorder="1" applyFont="1">
      <alignment horizontal="center" readingOrder="0"/>
    </xf>
    <xf borderId="8" fillId="0" fontId="11" numFmtId="0" xfId="0" applyAlignment="1" applyBorder="1" applyFont="1">
      <alignment horizontal="center" readingOrder="0" vertical="bottom"/>
    </xf>
    <xf borderId="8" fillId="0" fontId="6" numFmtId="0" xfId="0" applyBorder="1" applyFont="1"/>
    <xf borderId="8" fillId="0" fontId="11" numFmtId="0" xfId="0" applyAlignment="1" applyBorder="1" applyFont="1">
      <alignment horizontal="center" vertical="center"/>
    </xf>
    <xf borderId="8" fillId="0" fontId="14" numFmtId="0" xfId="0" applyAlignment="1" applyBorder="1" applyFont="1">
      <alignment readingOrder="0"/>
    </xf>
    <xf borderId="8" fillId="0" fontId="6" numFmtId="0" xfId="0" applyAlignment="1" applyBorder="1" applyFont="1">
      <alignment horizontal="left" readingOrder="0"/>
    </xf>
    <xf borderId="8" fillId="0" fontId="14" numFmtId="0" xfId="0" applyAlignment="1" applyBorder="1" applyFont="1">
      <alignment horizontal="center" readingOrder="0" shrinkToFit="0" vertical="center" wrapText="0"/>
    </xf>
    <xf borderId="8" fillId="0" fontId="15" numFmtId="0" xfId="0" applyAlignment="1" applyBorder="1" applyFont="1">
      <alignment horizontal="center" readingOrder="0" shrinkToFit="0" vertical="center" wrapText="0"/>
    </xf>
    <xf borderId="8" fillId="0" fontId="14" numFmtId="0" xfId="0" applyAlignment="1" applyBorder="1" applyFont="1">
      <alignment vertical="center"/>
    </xf>
    <xf borderId="0" fillId="0" fontId="16" numFmtId="0" xfId="0" applyAlignment="1" applyFont="1">
      <alignment vertical="bottom"/>
    </xf>
    <xf borderId="10" fillId="2" fontId="17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0" fontId="18" numFmtId="0" xfId="0" applyAlignment="1" applyBorder="1" applyFont="1">
      <alignment horizontal="center" readingOrder="0" vertical="bottom"/>
    </xf>
    <xf borderId="1" fillId="2" fontId="19" numFmtId="0" xfId="0" applyAlignment="1" applyBorder="1" applyFont="1">
      <alignment horizontal="center" readingOrder="0" vertical="center"/>
    </xf>
    <xf borderId="14" fillId="2" fontId="17" numFmtId="0" xfId="0" applyAlignment="1" applyBorder="1" applyFont="1">
      <alignment horizontal="center"/>
    </xf>
    <xf borderId="8" fillId="5" fontId="20" numFmtId="0" xfId="0" applyAlignment="1" applyBorder="1" applyFill="1" applyFont="1">
      <alignment horizontal="center" readingOrder="0" vertical="center"/>
    </xf>
    <xf borderId="14" fillId="0" fontId="2" numFmtId="0" xfId="0" applyBorder="1" applyFont="1"/>
    <xf borderId="8" fillId="0" fontId="21" numFmtId="0" xfId="0" applyAlignment="1" applyBorder="1" applyFont="1">
      <alignment horizontal="center" readingOrder="0" vertical="bottom"/>
    </xf>
    <xf borderId="8" fillId="0" fontId="12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vertical="bottom"/>
    </xf>
    <xf borderId="1" fillId="2" fontId="19" numFmtId="0" xfId="0" applyAlignment="1" applyBorder="1" applyFont="1">
      <alignment horizontal="center"/>
    </xf>
    <xf borderId="8" fillId="6" fontId="22" numFmtId="0" xfId="0" applyAlignment="1" applyBorder="1" applyFill="1" applyFont="1">
      <alignment horizontal="center"/>
    </xf>
    <xf borderId="8" fillId="7" fontId="22" numFmtId="0" xfId="0" applyAlignment="1" applyBorder="1" applyFill="1" applyFont="1">
      <alignment horizontal="center"/>
    </xf>
    <xf borderId="8" fillId="8" fontId="22" numFmtId="0" xfId="0" applyAlignment="1" applyBorder="1" applyFill="1" applyFont="1">
      <alignment horizontal="center"/>
    </xf>
    <xf borderId="8" fillId="0" fontId="21" numFmtId="0" xfId="0" applyAlignment="1" applyBorder="1" applyFont="1">
      <alignment horizontal="center" vertical="bottom"/>
    </xf>
    <xf borderId="8" fillId="6" fontId="10" numFmtId="0" xfId="0" applyAlignment="1" applyBorder="1" applyFont="1">
      <alignment horizontal="center" readingOrder="0" vertical="bottom"/>
    </xf>
    <xf borderId="8" fillId="6" fontId="23" numFmtId="0" xfId="0" applyAlignment="1" applyBorder="1" applyFont="1">
      <alignment horizontal="center" vertical="bottom"/>
    </xf>
    <xf borderId="8" fillId="6" fontId="23" numFmtId="0" xfId="0" applyAlignment="1" applyBorder="1" applyFont="1">
      <alignment horizontal="center" readingOrder="0" vertical="bottom"/>
    </xf>
    <xf borderId="8" fillId="6" fontId="7" numFmtId="0" xfId="0" applyAlignment="1" applyBorder="1" applyFont="1">
      <alignment horizontal="center" vertical="bottom"/>
    </xf>
    <xf borderId="1" fillId="0" fontId="21" numFmtId="0" xfId="0" applyAlignment="1" applyBorder="1" applyFont="1">
      <alignment horizontal="center" readingOrder="0" vertical="bottom"/>
    </xf>
    <xf borderId="8" fillId="2" fontId="24" numFmtId="0" xfId="0" applyAlignment="1" applyBorder="1" applyFont="1">
      <alignment horizontal="center" readingOrder="0" vertical="center"/>
    </xf>
    <xf borderId="8" fillId="6" fontId="25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center" readingOrder="0" vertical="bottom"/>
    </xf>
    <xf borderId="1" fillId="0" fontId="26" numFmtId="0" xfId="0" applyAlignment="1" applyBorder="1" applyFont="1">
      <alignment horizontal="center" readingOrder="0"/>
    </xf>
    <xf borderId="1" fillId="0" fontId="27" numFmtId="0" xfId="0" applyAlignment="1" applyBorder="1" applyFont="1">
      <alignment horizontal="center" readingOrder="0" vertical="center"/>
    </xf>
    <xf borderId="8" fillId="2" fontId="28" numFmtId="0" xfId="0" applyAlignment="1" applyBorder="1" applyFont="1">
      <alignment horizontal="center"/>
    </xf>
    <xf borderId="8" fillId="7" fontId="14" numFmtId="0" xfId="0" applyAlignment="1" applyBorder="1" applyFont="1">
      <alignment horizontal="center"/>
    </xf>
    <xf borderId="8" fillId="8" fontId="14" numFmtId="0" xfId="0" applyAlignment="1" applyBorder="1" applyFont="1">
      <alignment horizontal="center"/>
    </xf>
    <xf borderId="1" fillId="6" fontId="25" numFmtId="0" xfId="0" applyAlignment="1" applyBorder="1" applyFont="1">
      <alignment horizontal="center" readingOrder="0" vertical="bottom"/>
    </xf>
    <xf borderId="2" fillId="6" fontId="25" numFmtId="0" xfId="0" applyAlignment="1" applyBorder="1" applyFont="1">
      <alignment horizontal="center" vertical="bottom"/>
    </xf>
    <xf borderId="0" fillId="0" fontId="26" numFmtId="0" xfId="0" applyAlignment="1" applyFont="1">
      <alignment horizontal="center" vertical="bottom"/>
    </xf>
    <xf borderId="1" fillId="0" fontId="13" numFmtId="0" xfId="0" applyAlignment="1" applyBorder="1" applyFont="1">
      <alignment horizontal="center" vertical="bottom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1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1B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1C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1D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1E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1F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1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1H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1I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1J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2A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2B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2C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2D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2E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2F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2G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3A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3B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3C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3D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3E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3F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4A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4B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gcCS4C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9.5"/>
    <col customWidth="1" min="3" max="3" width="12.88"/>
    <col customWidth="1" min="4" max="4" width="9.88"/>
  </cols>
  <sheetData>
    <row r="1">
      <c r="A1" s="1" t="s">
        <v>0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8" t="s">
        <v>6</v>
      </c>
      <c r="B3" s="9"/>
      <c r="C3" s="10"/>
      <c r="D3" s="7"/>
    </row>
    <row r="4">
      <c r="A4" s="11" t="s">
        <v>8</v>
      </c>
      <c r="B4" s="2"/>
      <c r="C4" s="3"/>
      <c r="D4" s="7"/>
    </row>
    <row r="5">
      <c r="A5" s="12" t="s">
        <v>11</v>
      </c>
      <c r="B5" s="12" t="s">
        <v>12</v>
      </c>
      <c r="C5" s="13" t="s">
        <v>13</v>
      </c>
      <c r="D5" s="7"/>
    </row>
    <row r="6">
      <c r="A6" s="16">
        <v>1.0</v>
      </c>
      <c r="B6" s="18" t="s">
        <v>14</v>
      </c>
      <c r="C6" s="20" t="s">
        <v>16</v>
      </c>
      <c r="D6" s="7"/>
    </row>
    <row r="7">
      <c r="A7" s="16">
        <v>2.0</v>
      </c>
      <c r="B7" s="18" t="s">
        <v>17</v>
      </c>
      <c r="C7" s="20" t="s">
        <v>16</v>
      </c>
      <c r="D7" s="7"/>
    </row>
    <row r="8">
      <c r="A8" s="16">
        <v>3.0</v>
      </c>
      <c r="B8" s="18" t="s">
        <v>19</v>
      </c>
      <c r="C8" s="22" t="s">
        <v>20</v>
      </c>
      <c r="D8" s="7"/>
    </row>
    <row r="9">
      <c r="A9" s="16">
        <v>4.0</v>
      </c>
      <c r="B9" s="18" t="s">
        <v>23</v>
      </c>
      <c r="C9" s="20" t="s">
        <v>16</v>
      </c>
      <c r="D9" s="7"/>
    </row>
    <row r="10">
      <c r="A10" s="16">
        <v>5.0</v>
      </c>
      <c r="B10" s="18" t="s">
        <v>24</v>
      </c>
      <c r="C10" s="20" t="s">
        <v>16</v>
      </c>
      <c r="D10" s="7"/>
    </row>
    <row r="11">
      <c r="A11" s="16">
        <v>6.0</v>
      </c>
      <c r="B11" s="18" t="s">
        <v>27</v>
      </c>
      <c r="C11" s="20" t="s">
        <v>16</v>
      </c>
      <c r="D11" s="7"/>
    </row>
    <row r="12">
      <c r="A12" s="16">
        <v>7.0</v>
      </c>
      <c r="B12" s="18" t="s">
        <v>30</v>
      </c>
      <c r="C12" s="20" t="s">
        <v>16</v>
      </c>
      <c r="D12" s="7"/>
    </row>
    <row r="13">
      <c r="A13" s="16">
        <v>8.0</v>
      </c>
      <c r="B13" s="18" t="s">
        <v>33</v>
      </c>
      <c r="C13" s="22" t="s">
        <v>16</v>
      </c>
      <c r="D13" s="7"/>
    </row>
    <row r="14">
      <c r="A14" s="16">
        <v>9.0</v>
      </c>
      <c r="B14" s="18" t="s">
        <v>36</v>
      </c>
      <c r="C14" s="20" t="s">
        <v>16</v>
      </c>
      <c r="D14" s="7"/>
    </row>
    <row r="15">
      <c r="A15" s="16">
        <v>10.0</v>
      </c>
      <c r="B15" s="18" t="s">
        <v>39</v>
      </c>
      <c r="C15" s="20" t="s">
        <v>16</v>
      </c>
      <c r="D15" s="7"/>
    </row>
    <row r="16">
      <c r="A16" s="16">
        <v>11.0</v>
      </c>
      <c r="B16" s="18" t="s">
        <v>41</v>
      </c>
      <c r="C16" s="20" t="s">
        <v>16</v>
      </c>
      <c r="D16" s="7"/>
    </row>
    <row r="17">
      <c r="A17" s="16">
        <v>12.0</v>
      </c>
      <c r="B17" s="18" t="s">
        <v>45</v>
      </c>
      <c r="C17" s="20" t="s">
        <v>16</v>
      </c>
      <c r="D17" s="7"/>
    </row>
    <row r="18">
      <c r="A18" s="16">
        <v>13.0</v>
      </c>
      <c r="B18" s="18" t="s">
        <v>48</v>
      </c>
      <c r="C18" s="20" t="s">
        <v>16</v>
      </c>
      <c r="D18" s="7"/>
    </row>
    <row r="19">
      <c r="A19" s="16">
        <v>14.0</v>
      </c>
      <c r="B19" s="18" t="s">
        <v>50</v>
      </c>
      <c r="C19" s="20" t="s">
        <v>16</v>
      </c>
      <c r="D19" s="7"/>
    </row>
    <row r="20">
      <c r="A20" s="16">
        <v>15.0</v>
      </c>
      <c r="B20" s="18" t="s">
        <v>54</v>
      </c>
      <c r="C20" s="20" t="s">
        <v>16</v>
      </c>
      <c r="D20" s="7"/>
    </row>
    <row r="21">
      <c r="A21" s="16">
        <v>16.0</v>
      </c>
      <c r="B21" s="18" t="s">
        <v>58</v>
      </c>
      <c r="C21" s="20" t="s">
        <v>16</v>
      </c>
      <c r="D21" s="7"/>
    </row>
    <row r="22">
      <c r="A22" s="16">
        <v>17.0</v>
      </c>
      <c r="B22" s="18" t="s">
        <v>63</v>
      </c>
      <c r="C22" s="20" t="s">
        <v>16</v>
      </c>
      <c r="D22" s="7"/>
    </row>
    <row r="23">
      <c r="A23" s="16">
        <v>18.0</v>
      </c>
      <c r="B23" s="18" t="s">
        <v>64</v>
      </c>
      <c r="C23" s="22" t="s">
        <v>16</v>
      </c>
      <c r="D23" s="7"/>
    </row>
    <row r="24">
      <c r="A24" s="16">
        <v>19.0</v>
      </c>
      <c r="B24" s="18" t="s">
        <v>67</v>
      </c>
      <c r="C24" s="20" t="s">
        <v>16</v>
      </c>
      <c r="D24" s="7"/>
    </row>
    <row r="25">
      <c r="A25" s="16">
        <v>20.0</v>
      </c>
      <c r="B25" s="18" t="s">
        <v>75</v>
      </c>
      <c r="C25" s="20" t="s">
        <v>16</v>
      </c>
      <c r="D25" s="7"/>
    </row>
    <row r="26">
      <c r="A26" s="16">
        <v>21.0</v>
      </c>
      <c r="B26" s="18" t="s">
        <v>79</v>
      </c>
      <c r="C26" s="20" t="s">
        <v>16</v>
      </c>
      <c r="D26" s="7"/>
    </row>
    <row r="27">
      <c r="A27" s="16">
        <v>22.0</v>
      </c>
      <c r="B27" s="18" t="s">
        <v>81</v>
      </c>
      <c r="C27" s="20" t="s">
        <v>16</v>
      </c>
      <c r="D27" s="7"/>
    </row>
    <row r="28">
      <c r="A28" s="16">
        <v>23.0</v>
      </c>
      <c r="B28" s="18" t="s">
        <v>84</v>
      </c>
      <c r="C28" s="20" t="s">
        <v>16</v>
      </c>
      <c r="D28" s="7"/>
    </row>
    <row r="29">
      <c r="A29" s="16">
        <v>24.0</v>
      </c>
      <c r="B29" s="18" t="s">
        <v>88</v>
      </c>
      <c r="C29" s="20" t="s">
        <v>16</v>
      </c>
      <c r="D29" s="7"/>
    </row>
    <row r="30">
      <c r="A30" s="16">
        <v>25.0</v>
      </c>
      <c r="B30" s="18" t="s">
        <v>89</v>
      </c>
      <c r="C30" s="20" t="s">
        <v>16</v>
      </c>
      <c r="D30" s="7"/>
    </row>
    <row r="31">
      <c r="A31" s="16">
        <v>26.0</v>
      </c>
      <c r="B31" s="18" t="s">
        <v>92</v>
      </c>
      <c r="C31" s="20" t="s">
        <v>16</v>
      </c>
      <c r="D31" s="7"/>
    </row>
    <row r="32">
      <c r="A32" s="16">
        <v>27.0</v>
      </c>
      <c r="B32" s="18" t="s">
        <v>95</v>
      </c>
      <c r="C32" s="20" t="s">
        <v>16</v>
      </c>
      <c r="D32" s="7"/>
    </row>
    <row r="33">
      <c r="A33" s="16">
        <v>28.0</v>
      </c>
      <c r="B33" s="18" t="s">
        <v>99</v>
      </c>
      <c r="C33" s="20" t="s">
        <v>16</v>
      </c>
      <c r="D33" s="7"/>
    </row>
    <row r="34">
      <c r="A34" s="16">
        <v>29.0</v>
      </c>
      <c r="B34" s="18" t="s">
        <v>101</v>
      </c>
      <c r="C34" s="20" t="s">
        <v>16</v>
      </c>
      <c r="D34" s="7"/>
    </row>
    <row r="35">
      <c r="A35" s="16">
        <v>30.0</v>
      </c>
      <c r="B35" s="18" t="s">
        <v>104</v>
      </c>
      <c r="C35" s="20" t="s">
        <v>16</v>
      </c>
      <c r="D35" s="7"/>
    </row>
    <row r="36">
      <c r="A36" s="16">
        <v>31.0</v>
      </c>
      <c r="B36" s="18" t="s">
        <v>106</v>
      </c>
      <c r="C36" s="20" t="s">
        <v>16</v>
      </c>
      <c r="D36" s="7"/>
    </row>
    <row r="37">
      <c r="A37" s="16">
        <v>32.0</v>
      </c>
      <c r="B37" s="18" t="s">
        <v>110</v>
      </c>
      <c r="C37" s="20" t="s">
        <v>16</v>
      </c>
      <c r="D37" s="7"/>
    </row>
    <row r="38">
      <c r="A38" s="16">
        <v>33.0</v>
      </c>
      <c r="B38" s="18" t="s">
        <v>114</v>
      </c>
      <c r="C38" s="20" t="s">
        <v>16</v>
      </c>
      <c r="D38" s="7"/>
    </row>
    <row r="39">
      <c r="A39" s="16">
        <v>34.0</v>
      </c>
      <c r="B39" s="18" t="s">
        <v>117</v>
      </c>
      <c r="C39" s="20" t="s">
        <v>16</v>
      </c>
      <c r="D39" s="7"/>
    </row>
    <row r="40">
      <c r="A40" s="16">
        <v>35.0</v>
      </c>
      <c r="B40" s="18" t="s">
        <v>120</v>
      </c>
      <c r="C40" s="20" t="s">
        <v>16</v>
      </c>
      <c r="D40" s="7"/>
    </row>
    <row r="41">
      <c r="A41" s="16">
        <v>36.0</v>
      </c>
      <c r="B41" s="18" t="s">
        <v>122</v>
      </c>
      <c r="C41" s="20" t="s">
        <v>16</v>
      </c>
      <c r="D41" s="7"/>
    </row>
    <row r="42">
      <c r="A42" s="16">
        <v>37.0</v>
      </c>
      <c r="B42" s="18" t="s">
        <v>126</v>
      </c>
      <c r="C42" s="22" t="s">
        <v>16</v>
      </c>
      <c r="D42" s="7"/>
    </row>
    <row r="43">
      <c r="A43" s="16">
        <v>38.0</v>
      </c>
      <c r="B43" s="18" t="s">
        <v>129</v>
      </c>
      <c r="C43" s="20" t="s">
        <v>16</v>
      </c>
      <c r="D43" s="7"/>
    </row>
    <row r="44">
      <c r="A44" s="16">
        <v>39.0</v>
      </c>
      <c r="B44" s="18" t="s">
        <v>132</v>
      </c>
      <c r="C44" s="20" t="s">
        <v>16</v>
      </c>
      <c r="D44" s="7"/>
    </row>
    <row r="45">
      <c r="A45" s="16">
        <v>40.0</v>
      </c>
      <c r="B45" s="18" t="s">
        <v>135</v>
      </c>
      <c r="C45" s="26" t="s">
        <v>16</v>
      </c>
      <c r="D45" s="7"/>
    </row>
    <row r="46">
      <c r="A46" s="16">
        <v>41.0</v>
      </c>
      <c r="B46" s="18" t="s">
        <v>138</v>
      </c>
      <c r="C46" s="26" t="s">
        <v>16</v>
      </c>
      <c r="D46" s="7"/>
    </row>
    <row r="47">
      <c r="A47" s="16">
        <v>42.0</v>
      </c>
      <c r="B47" s="18" t="s">
        <v>142</v>
      </c>
      <c r="C47" s="26" t="s">
        <v>16</v>
      </c>
      <c r="D47" s="7"/>
    </row>
    <row r="48">
      <c r="A48" s="16">
        <v>43.0</v>
      </c>
      <c r="B48" s="18" t="s">
        <v>144</v>
      </c>
      <c r="C48" s="26" t="s">
        <v>16</v>
      </c>
      <c r="D48" s="7"/>
    </row>
    <row r="49">
      <c r="A49" s="16">
        <v>44.0</v>
      </c>
      <c r="B49" s="18" t="s">
        <v>147</v>
      </c>
      <c r="C49" s="26" t="s">
        <v>16</v>
      </c>
      <c r="D49" s="7"/>
    </row>
    <row r="50">
      <c r="A50" s="16">
        <v>45.0</v>
      </c>
      <c r="B50" s="18" t="s">
        <v>151</v>
      </c>
      <c r="C50" s="26" t="s">
        <v>16</v>
      </c>
      <c r="D50" s="7"/>
    </row>
    <row r="51">
      <c r="A51" s="16">
        <v>46.0</v>
      </c>
      <c r="B51" s="18" t="s">
        <v>154</v>
      </c>
      <c r="C51" s="27" t="s">
        <v>16</v>
      </c>
      <c r="D51" s="7"/>
    </row>
    <row r="52">
      <c r="A52" s="16">
        <v>47.0</v>
      </c>
      <c r="B52" s="18" t="s">
        <v>158</v>
      </c>
      <c r="C52" s="26" t="s">
        <v>16</v>
      </c>
      <c r="D52" s="7"/>
    </row>
    <row r="53">
      <c r="A53" s="16">
        <v>48.0</v>
      </c>
      <c r="B53" s="18" t="s">
        <v>161</v>
      </c>
      <c r="C53" s="26" t="s">
        <v>16</v>
      </c>
      <c r="D53" s="7"/>
    </row>
    <row r="54">
      <c r="A54" s="16">
        <v>49.0</v>
      </c>
      <c r="B54" s="18" t="s">
        <v>163</v>
      </c>
      <c r="C54" s="26" t="s">
        <v>16</v>
      </c>
      <c r="D54" s="7"/>
    </row>
    <row r="55">
      <c r="A55" s="16">
        <v>50.0</v>
      </c>
      <c r="B55" s="18" t="s">
        <v>165</v>
      </c>
      <c r="C55" s="26" t="s">
        <v>16</v>
      </c>
      <c r="D55" s="7"/>
    </row>
    <row r="56">
      <c r="A56" s="28" t="s">
        <v>167</v>
      </c>
      <c r="B56" s="2"/>
      <c r="C56" s="3"/>
      <c r="D56" s="7"/>
    </row>
    <row r="57">
      <c r="A57" s="29" t="s">
        <v>171</v>
      </c>
      <c r="B57" s="2"/>
      <c r="C57" s="3"/>
      <c r="D57" s="30"/>
    </row>
  </sheetData>
  <mergeCells count="7">
    <mergeCell ref="A1:C1"/>
    <mergeCell ref="D1:D57"/>
    <mergeCell ref="A2:C2"/>
    <mergeCell ref="A3:C3"/>
    <mergeCell ref="A4:C4"/>
    <mergeCell ref="A56:C56"/>
    <mergeCell ref="A57:C57"/>
  </mergeCells>
  <conditionalFormatting sqref="C1:D55">
    <cfRule type="containsText" dxfId="0" priority="1" operator="containsText" text="Enrolled">
      <formula>NOT(ISERROR(SEARCH(("Enrolled"),(C1))))</formula>
    </cfRule>
  </conditionalFormatting>
  <conditionalFormatting sqref="C1:D55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9.38"/>
    <col customWidth="1" min="3" max="3" width="12.88"/>
    <col customWidth="1" min="4" max="4" width="9.88"/>
  </cols>
  <sheetData>
    <row r="1">
      <c r="A1" s="4" t="s">
        <v>1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7</v>
      </c>
      <c r="B3" s="9"/>
      <c r="C3" s="10"/>
      <c r="D3" s="7"/>
    </row>
    <row r="4">
      <c r="A4" s="11" t="s">
        <v>15</v>
      </c>
      <c r="B4" s="2"/>
      <c r="C4" s="3"/>
      <c r="D4" s="7"/>
    </row>
    <row r="5">
      <c r="A5" s="12" t="s">
        <v>11</v>
      </c>
      <c r="B5" s="12" t="s">
        <v>12</v>
      </c>
      <c r="C5" s="21" t="s">
        <v>13</v>
      </c>
      <c r="D5" s="7"/>
    </row>
    <row r="6">
      <c r="A6" s="16">
        <v>1.0</v>
      </c>
      <c r="B6" s="23" t="s">
        <v>21</v>
      </c>
      <c r="C6" s="22" t="s">
        <v>20</v>
      </c>
      <c r="D6" s="7"/>
    </row>
    <row r="7">
      <c r="A7" s="16">
        <v>2.0</v>
      </c>
      <c r="B7" s="23" t="s">
        <v>26</v>
      </c>
      <c r="C7" s="20" t="s">
        <v>16</v>
      </c>
      <c r="D7" s="7"/>
    </row>
    <row r="8">
      <c r="A8" s="16">
        <v>3.0</v>
      </c>
      <c r="B8" s="23" t="s">
        <v>31</v>
      </c>
      <c r="C8" s="20" t="s">
        <v>16</v>
      </c>
      <c r="D8" s="7"/>
    </row>
    <row r="9">
      <c r="A9" s="16">
        <v>4.0</v>
      </c>
      <c r="B9" s="23" t="s">
        <v>35</v>
      </c>
      <c r="C9" s="20" t="s">
        <v>16</v>
      </c>
      <c r="D9" s="7"/>
    </row>
    <row r="10">
      <c r="A10" s="16">
        <v>5.0</v>
      </c>
      <c r="B10" s="23" t="s">
        <v>40</v>
      </c>
      <c r="C10" s="20" t="s">
        <v>16</v>
      </c>
      <c r="D10" s="7"/>
    </row>
    <row r="11">
      <c r="A11" s="16">
        <v>6.0</v>
      </c>
      <c r="B11" s="23" t="s">
        <v>43</v>
      </c>
      <c r="C11" s="20" t="s">
        <v>16</v>
      </c>
      <c r="D11" s="7"/>
    </row>
    <row r="12">
      <c r="A12" s="16">
        <v>7.0</v>
      </c>
      <c r="B12" s="23" t="s">
        <v>49</v>
      </c>
      <c r="C12" s="20" t="s">
        <v>16</v>
      </c>
      <c r="D12" s="7"/>
    </row>
    <row r="13">
      <c r="A13" s="16">
        <v>8.0</v>
      </c>
      <c r="B13" s="23" t="s">
        <v>53</v>
      </c>
      <c r="C13" s="20" t="s">
        <v>16</v>
      </c>
      <c r="D13" s="7"/>
    </row>
    <row r="14">
      <c r="A14" s="16">
        <v>9.0</v>
      </c>
      <c r="B14" s="23" t="s">
        <v>57</v>
      </c>
      <c r="C14" s="20" t="s">
        <v>16</v>
      </c>
      <c r="D14" s="7"/>
    </row>
    <row r="15">
      <c r="A15" s="16">
        <v>10.0</v>
      </c>
      <c r="B15" s="23" t="s">
        <v>62</v>
      </c>
      <c r="C15" s="20" t="s">
        <v>16</v>
      </c>
      <c r="D15" s="7"/>
    </row>
    <row r="16">
      <c r="A16" s="16">
        <v>11.0</v>
      </c>
      <c r="B16" s="23" t="s">
        <v>69</v>
      </c>
      <c r="C16" s="20" t="s">
        <v>16</v>
      </c>
      <c r="D16" s="7"/>
    </row>
    <row r="17">
      <c r="A17" s="16">
        <v>12.0</v>
      </c>
      <c r="B17" s="23" t="s">
        <v>73</v>
      </c>
      <c r="C17" s="20" t="s">
        <v>16</v>
      </c>
      <c r="D17" s="7"/>
    </row>
    <row r="18">
      <c r="A18" s="16">
        <v>13.0</v>
      </c>
      <c r="B18" s="23" t="s">
        <v>78</v>
      </c>
      <c r="C18" s="20" t="s">
        <v>16</v>
      </c>
      <c r="D18" s="7"/>
    </row>
    <row r="19">
      <c r="A19" s="16">
        <v>14.0</v>
      </c>
      <c r="B19" s="23" t="s">
        <v>83</v>
      </c>
      <c r="C19" s="20" t="s">
        <v>16</v>
      </c>
      <c r="D19" s="7"/>
    </row>
    <row r="20">
      <c r="A20" s="16">
        <v>15.0</v>
      </c>
      <c r="B20" s="23" t="s">
        <v>87</v>
      </c>
      <c r="C20" s="20" t="s">
        <v>16</v>
      </c>
      <c r="D20" s="7"/>
    </row>
    <row r="21">
      <c r="A21" s="16">
        <v>16.0</v>
      </c>
      <c r="B21" s="23" t="s">
        <v>91</v>
      </c>
      <c r="C21" s="20" t="s">
        <v>16</v>
      </c>
      <c r="D21" s="7"/>
    </row>
    <row r="22">
      <c r="A22" s="16">
        <v>17.0</v>
      </c>
      <c r="B22" s="23" t="s">
        <v>96</v>
      </c>
      <c r="C22" s="20" t="s">
        <v>16</v>
      </c>
      <c r="D22" s="7"/>
    </row>
    <row r="23">
      <c r="A23" s="16">
        <v>18.0</v>
      </c>
      <c r="B23" s="23" t="s">
        <v>103</v>
      </c>
      <c r="C23" s="20" t="s">
        <v>16</v>
      </c>
      <c r="D23" s="7"/>
    </row>
    <row r="24">
      <c r="A24" s="16">
        <v>19.0</v>
      </c>
      <c r="B24" s="23" t="s">
        <v>108</v>
      </c>
      <c r="C24" s="20" t="s">
        <v>16</v>
      </c>
      <c r="D24" s="7"/>
    </row>
    <row r="25">
      <c r="A25" s="16">
        <v>20.0</v>
      </c>
      <c r="B25" s="23" t="s">
        <v>112</v>
      </c>
      <c r="C25" s="20" t="s">
        <v>16</v>
      </c>
      <c r="D25" s="7"/>
    </row>
    <row r="26">
      <c r="A26" s="16">
        <v>21.0</v>
      </c>
      <c r="B26" s="23" t="s">
        <v>116</v>
      </c>
      <c r="C26" s="20" t="s">
        <v>16</v>
      </c>
      <c r="D26" s="7"/>
    </row>
    <row r="27">
      <c r="A27" s="16">
        <v>22.0</v>
      </c>
      <c r="B27" s="23" t="s">
        <v>121</v>
      </c>
      <c r="C27" s="20" t="s">
        <v>16</v>
      </c>
      <c r="D27" s="7"/>
    </row>
    <row r="28">
      <c r="A28" s="16">
        <v>23.0</v>
      </c>
      <c r="B28" s="23" t="s">
        <v>123</v>
      </c>
      <c r="C28" s="20" t="s">
        <v>16</v>
      </c>
      <c r="D28" s="7"/>
    </row>
    <row r="29">
      <c r="A29" s="16">
        <v>24.0</v>
      </c>
      <c r="B29" s="23" t="s">
        <v>127</v>
      </c>
      <c r="C29" s="20" t="s">
        <v>16</v>
      </c>
      <c r="D29" s="7"/>
    </row>
    <row r="30">
      <c r="A30" s="16">
        <v>25.0</v>
      </c>
      <c r="B30" s="23" t="s">
        <v>131</v>
      </c>
      <c r="C30" s="20" t="s">
        <v>16</v>
      </c>
      <c r="D30" s="7"/>
    </row>
    <row r="31">
      <c r="A31" s="16">
        <v>26.0</v>
      </c>
      <c r="B31" s="23" t="s">
        <v>136</v>
      </c>
      <c r="C31" s="20" t="s">
        <v>16</v>
      </c>
      <c r="D31" s="7"/>
    </row>
    <row r="32">
      <c r="A32" s="16">
        <v>27.0</v>
      </c>
      <c r="B32" s="23" t="s">
        <v>139</v>
      </c>
      <c r="C32" s="20" t="s">
        <v>16</v>
      </c>
      <c r="D32" s="7"/>
    </row>
    <row r="33">
      <c r="A33" s="16">
        <v>28.0</v>
      </c>
      <c r="B33" s="23" t="s">
        <v>145</v>
      </c>
      <c r="C33" s="20" t="s">
        <v>16</v>
      </c>
      <c r="D33" s="7"/>
    </row>
    <row r="34">
      <c r="A34" s="16">
        <v>29.0</v>
      </c>
      <c r="B34" s="23" t="s">
        <v>150</v>
      </c>
      <c r="C34" s="20" t="s">
        <v>16</v>
      </c>
      <c r="D34" s="7"/>
    </row>
    <row r="35">
      <c r="A35" s="16">
        <v>30.0</v>
      </c>
      <c r="B35" s="23" t="s">
        <v>153</v>
      </c>
      <c r="C35" s="20" t="s">
        <v>16</v>
      </c>
      <c r="D35" s="7"/>
    </row>
    <row r="36">
      <c r="A36" s="16">
        <v>31.0</v>
      </c>
      <c r="B36" s="23" t="s">
        <v>156</v>
      </c>
      <c r="C36" s="20" t="s">
        <v>16</v>
      </c>
      <c r="D36" s="7"/>
    </row>
    <row r="37">
      <c r="A37" s="16">
        <v>32.0</v>
      </c>
      <c r="B37" s="23" t="s">
        <v>159</v>
      </c>
      <c r="C37" s="20" t="s">
        <v>16</v>
      </c>
      <c r="D37" s="7"/>
    </row>
    <row r="38">
      <c r="A38" s="16">
        <v>33.0</v>
      </c>
      <c r="B38" s="23" t="s">
        <v>169</v>
      </c>
      <c r="C38" s="20" t="s">
        <v>16</v>
      </c>
      <c r="D38" s="7"/>
    </row>
    <row r="39">
      <c r="A39" s="16">
        <v>34.0</v>
      </c>
      <c r="B39" s="23" t="s">
        <v>173</v>
      </c>
      <c r="C39" s="20" t="s">
        <v>16</v>
      </c>
      <c r="D39" s="7"/>
    </row>
    <row r="40">
      <c r="A40" s="16">
        <v>35.0</v>
      </c>
      <c r="B40" s="23" t="s">
        <v>175</v>
      </c>
      <c r="C40" s="20" t="s">
        <v>16</v>
      </c>
      <c r="D40" s="7"/>
    </row>
    <row r="41">
      <c r="A41" s="16">
        <v>36.0</v>
      </c>
      <c r="B41" s="23" t="s">
        <v>179</v>
      </c>
      <c r="C41" s="20" t="s">
        <v>16</v>
      </c>
      <c r="D41" s="7"/>
    </row>
    <row r="42">
      <c r="A42" s="16">
        <v>37.0</v>
      </c>
      <c r="B42" s="23" t="s">
        <v>182</v>
      </c>
      <c r="C42" s="20" t="s">
        <v>16</v>
      </c>
      <c r="D42" s="7"/>
    </row>
    <row r="43">
      <c r="A43" s="16">
        <v>38.0</v>
      </c>
      <c r="B43" s="23" t="s">
        <v>185</v>
      </c>
      <c r="C43" s="20" t="s">
        <v>16</v>
      </c>
      <c r="D43" s="7"/>
    </row>
    <row r="44">
      <c r="A44" s="16">
        <v>39.0</v>
      </c>
      <c r="B44" s="23" t="s">
        <v>188</v>
      </c>
      <c r="C44" s="20" t="s">
        <v>16</v>
      </c>
      <c r="D44" s="7"/>
    </row>
    <row r="45">
      <c r="A45" s="16">
        <v>40.0</v>
      </c>
      <c r="B45" s="23" t="s">
        <v>191</v>
      </c>
      <c r="C45" s="26" t="s">
        <v>16</v>
      </c>
      <c r="D45" s="7"/>
    </row>
    <row r="46">
      <c r="A46" s="16">
        <v>41.0</v>
      </c>
      <c r="B46" s="23" t="s">
        <v>193</v>
      </c>
      <c r="C46" s="26" t="s">
        <v>16</v>
      </c>
      <c r="D46" s="7"/>
    </row>
    <row r="47">
      <c r="A47" s="16">
        <v>42.0</v>
      </c>
      <c r="B47" s="23" t="s">
        <v>194</v>
      </c>
      <c r="C47" s="26" t="s">
        <v>16</v>
      </c>
      <c r="D47" s="7"/>
    </row>
    <row r="48">
      <c r="A48" s="16">
        <v>43.0</v>
      </c>
      <c r="B48" s="23" t="s">
        <v>196</v>
      </c>
      <c r="C48" s="26" t="s">
        <v>16</v>
      </c>
      <c r="D48" s="7"/>
    </row>
    <row r="49">
      <c r="A49" s="16">
        <v>44.0</v>
      </c>
      <c r="B49" s="23" t="s">
        <v>197</v>
      </c>
      <c r="C49" s="26" t="s">
        <v>16</v>
      </c>
      <c r="D49" s="7"/>
    </row>
    <row r="50">
      <c r="A50" s="16">
        <v>45.0</v>
      </c>
      <c r="B50" s="23" t="s">
        <v>199</v>
      </c>
      <c r="C50" s="26" t="s">
        <v>16</v>
      </c>
      <c r="D50" s="7"/>
    </row>
    <row r="51">
      <c r="A51" s="16">
        <v>46.0</v>
      </c>
      <c r="B51" s="23" t="s">
        <v>200</v>
      </c>
      <c r="C51" s="26" t="s">
        <v>16</v>
      </c>
      <c r="D51" s="7"/>
    </row>
    <row r="52">
      <c r="A52" s="16">
        <v>47.0</v>
      </c>
      <c r="B52" s="23" t="s">
        <v>202</v>
      </c>
      <c r="C52" s="26" t="s">
        <v>16</v>
      </c>
      <c r="D52" s="7"/>
    </row>
    <row r="53">
      <c r="A53" s="16">
        <v>48.0</v>
      </c>
      <c r="B53" s="32" t="s">
        <v>205</v>
      </c>
      <c r="C53" s="34" t="s">
        <v>16</v>
      </c>
      <c r="D53" s="7"/>
    </row>
    <row r="54">
      <c r="A54" s="16">
        <v>49.0</v>
      </c>
      <c r="B54" s="32" t="s">
        <v>209</v>
      </c>
      <c r="C54" s="34" t="s">
        <v>16</v>
      </c>
      <c r="D54" s="7"/>
    </row>
    <row r="55">
      <c r="A55" s="16">
        <v>50.0</v>
      </c>
      <c r="B55" s="32" t="s">
        <v>213</v>
      </c>
      <c r="C55" s="34" t="s">
        <v>16</v>
      </c>
      <c r="D55" s="7"/>
    </row>
    <row r="56">
      <c r="A56" s="28" t="s">
        <v>167</v>
      </c>
      <c r="B56" s="2"/>
      <c r="C56" s="3"/>
      <c r="D56" s="7"/>
    </row>
    <row r="57">
      <c r="A57" s="29" t="s">
        <v>171</v>
      </c>
      <c r="B57" s="2"/>
      <c r="C57" s="3"/>
      <c r="D57" s="30"/>
    </row>
  </sheetData>
  <mergeCells count="7">
    <mergeCell ref="A1:C1"/>
    <mergeCell ref="D1:D57"/>
    <mergeCell ref="A2:C2"/>
    <mergeCell ref="A3:C3"/>
    <mergeCell ref="A4:C4"/>
    <mergeCell ref="A56:C56"/>
    <mergeCell ref="A57:C57"/>
  </mergeCells>
  <conditionalFormatting sqref="C1:D55">
    <cfRule type="containsText" dxfId="0" priority="1" operator="containsText" text="Enrolled">
      <formula>NOT(ISERROR(SEARCH(("Enrolled"),(C1))))</formula>
    </cfRule>
  </conditionalFormatting>
  <conditionalFormatting sqref="C1:D55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0.5"/>
    <col customWidth="1" min="3" max="3" width="12.88"/>
    <col customWidth="1" min="4" max="4" width="9.88"/>
  </cols>
  <sheetData>
    <row r="1">
      <c r="A1" s="4" t="s">
        <v>2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9</v>
      </c>
      <c r="B3" s="9"/>
      <c r="C3" s="10"/>
      <c r="D3" s="7"/>
    </row>
    <row r="4">
      <c r="A4" s="11" t="s">
        <v>18</v>
      </c>
      <c r="B4" s="2"/>
      <c r="C4" s="3"/>
      <c r="D4" s="7"/>
    </row>
    <row r="5">
      <c r="A5" s="12" t="s">
        <v>11</v>
      </c>
      <c r="B5" s="12" t="s">
        <v>12</v>
      </c>
      <c r="C5" s="13" t="s">
        <v>13</v>
      </c>
      <c r="D5" s="7"/>
    </row>
    <row r="6">
      <c r="A6" s="16">
        <v>1.0</v>
      </c>
      <c r="B6" s="18" t="s">
        <v>28</v>
      </c>
      <c r="C6" s="20" t="s">
        <v>16</v>
      </c>
      <c r="D6" s="7"/>
    </row>
    <row r="7">
      <c r="A7" s="16">
        <v>2.0</v>
      </c>
      <c r="B7" s="18" t="s">
        <v>32</v>
      </c>
      <c r="C7" s="20" t="s">
        <v>16</v>
      </c>
      <c r="D7" s="7"/>
    </row>
    <row r="8">
      <c r="A8" s="16">
        <v>3.0</v>
      </c>
      <c r="B8" s="18" t="s">
        <v>37</v>
      </c>
      <c r="C8" s="20" t="s">
        <v>16</v>
      </c>
      <c r="D8" s="7"/>
    </row>
    <row r="9">
      <c r="A9" s="16">
        <v>4.0</v>
      </c>
      <c r="B9" s="18" t="s">
        <v>42</v>
      </c>
      <c r="C9" s="20" t="s">
        <v>16</v>
      </c>
      <c r="D9" s="7"/>
    </row>
    <row r="10">
      <c r="A10" s="16">
        <v>5.0</v>
      </c>
      <c r="B10" s="18" t="s">
        <v>46</v>
      </c>
      <c r="C10" s="20" t="s">
        <v>16</v>
      </c>
      <c r="D10" s="7"/>
    </row>
    <row r="11">
      <c r="A11" s="16">
        <v>6.0</v>
      </c>
      <c r="B11" s="18" t="s">
        <v>52</v>
      </c>
      <c r="C11" s="20" t="s">
        <v>16</v>
      </c>
      <c r="D11" s="7"/>
    </row>
    <row r="12">
      <c r="A12" s="16">
        <v>7.0</v>
      </c>
      <c r="B12" s="18" t="s">
        <v>56</v>
      </c>
      <c r="C12" s="20" t="s">
        <v>16</v>
      </c>
      <c r="D12" s="7"/>
    </row>
    <row r="13">
      <c r="A13" s="16">
        <v>8.0</v>
      </c>
      <c r="B13" s="18" t="s">
        <v>60</v>
      </c>
      <c r="C13" s="20" t="s">
        <v>16</v>
      </c>
      <c r="D13" s="7"/>
    </row>
    <row r="14">
      <c r="A14" s="16">
        <v>9.0</v>
      </c>
      <c r="B14" s="18" t="s">
        <v>65</v>
      </c>
      <c r="C14" s="20" t="s">
        <v>16</v>
      </c>
      <c r="D14" s="7"/>
    </row>
    <row r="15">
      <c r="A15" s="16">
        <v>10.0</v>
      </c>
      <c r="B15" s="18" t="s">
        <v>70</v>
      </c>
      <c r="C15" s="20" t="s">
        <v>16</v>
      </c>
      <c r="D15" s="7"/>
    </row>
    <row r="16">
      <c r="A16" s="16">
        <v>11.0</v>
      </c>
      <c r="B16" s="18" t="s">
        <v>72</v>
      </c>
      <c r="C16" s="20" t="s">
        <v>16</v>
      </c>
      <c r="D16" s="7"/>
    </row>
    <row r="17">
      <c r="A17" s="16">
        <v>12.0</v>
      </c>
      <c r="B17" s="18" t="s">
        <v>76</v>
      </c>
      <c r="C17" s="20" t="s">
        <v>16</v>
      </c>
      <c r="D17" s="7"/>
    </row>
    <row r="18">
      <c r="A18" s="16">
        <v>13.0</v>
      </c>
      <c r="B18" s="18" t="s">
        <v>80</v>
      </c>
      <c r="C18" s="20" t="s">
        <v>16</v>
      </c>
      <c r="D18" s="7"/>
    </row>
    <row r="19">
      <c r="A19" s="16">
        <v>14.0</v>
      </c>
      <c r="B19" s="18" t="s">
        <v>85</v>
      </c>
      <c r="C19" s="20" t="s">
        <v>16</v>
      </c>
      <c r="D19" s="7"/>
    </row>
    <row r="20">
      <c r="A20" s="16">
        <v>15.0</v>
      </c>
      <c r="B20" s="18" t="s">
        <v>93</v>
      </c>
      <c r="C20" s="20" t="s">
        <v>16</v>
      </c>
      <c r="D20" s="7"/>
    </row>
    <row r="21">
      <c r="A21" s="16">
        <v>16.0</v>
      </c>
      <c r="B21" s="18" t="s">
        <v>98</v>
      </c>
      <c r="C21" s="20" t="s">
        <v>16</v>
      </c>
      <c r="D21" s="7"/>
    </row>
    <row r="22">
      <c r="A22" s="16">
        <v>17.0</v>
      </c>
      <c r="B22" s="18" t="s">
        <v>105</v>
      </c>
      <c r="C22" s="20" t="s">
        <v>16</v>
      </c>
      <c r="D22" s="7"/>
    </row>
    <row r="23">
      <c r="A23" s="16">
        <v>18.0</v>
      </c>
      <c r="B23" s="18" t="s">
        <v>109</v>
      </c>
      <c r="C23" s="20" t="s">
        <v>16</v>
      </c>
      <c r="D23" s="7"/>
    </row>
    <row r="24">
      <c r="A24" s="16">
        <v>19.0</v>
      </c>
      <c r="B24" s="18" t="s">
        <v>113</v>
      </c>
      <c r="C24" s="20" t="s">
        <v>16</v>
      </c>
      <c r="D24" s="7"/>
    </row>
    <row r="25">
      <c r="A25" s="16">
        <v>20.0</v>
      </c>
      <c r="B25" s="18" t="s">
        <v>119</v>
      </c>
      <c r="C25" s="20" t="s">
        <v>16</v>
      </c>
      <c r="D25" s="7"/>
    </row>
    <row r="26">
      <c r="A26" s="16">
        <v>21.0</v>
      </c>
      <c r="B26" s="18" t="s">
        <v>124</v>
      </c>
      <c r="C26" s="20" t="s">
        <v>16</v>
      </c>
      <c r="D26" s="7"/>
    </row>
    <row r="27">
      <c r="A27" s="16">
        <v>22.0</v>
      </c>
      <c r="B27" s="18" t="s">
        <v>128</v>
      </c>
      <c r="C27" s="20" t="s">
        <v>16</v>
      </c>
      <c r="D27" s="7"/>
    </row>
    <row r="28">
      <c r="A28" s="16">
        <v>23.0</v>
      </c>
      <c r="B28" s="18" t="s">
        <v>134</v>
      </c>
      <c r="C28" s="20" t="s">
        <v>16</v>
      </c>
      <c r="D28" s="7"/>
    </row>
    <row r="29">
      <c r="A29" s="16">
        <v>24.0</v>
      </c>
      <c r="B29" s="18" t="s">
        <v>140</v>
      </c>
      <c r="C29" s="20" t="s">
        <v>16</v>
      </c>
      <c r="D29" s="7"/>
    </row>
    <row r="30">
      <c r="A30" s="16">
        <v>25.0</v>
      </c>
      <c r="B30" s="18" t="s">
        <v>143</v>
      </c>
      <c r="C30" s="20" t="s">
        <v>16</v>
      </c>
      <c r="D30" s="7"/>
    </row>
    <row r="31">
      <c r="A31" s="16">
        <v>26.0</v>
      </c>
      <c r="B31" s="18" t="s">
        <v>148</v>
      </c>
      <c r="C31" s="20" t="s">
        <v>16</v>
      </c>
      <c r="D31" s="7"/>
    </row>
    <row r="32">
      <c r="A32" s="16">
        <v>27.0</v>
      </c>
      <c r="B32" s="18" t="s">
        <v>155</v>
      </c>
      <c r="C32" s="20" t="s">
        <v>16</v>
      </c>
      <c r="D32" s="7"/>
    </row>
    <row r="33">
      <c r="A33" s="16">
        <v>28.0</v>
      </c>
      <c r="B33" s="18" t="s">
        <v>162</v>
      </c>
      <c r="C33" s="20" t="s">
        <v>16</v>
      </c>
      <c r="D33" s="7"/>
    </row>
    <row r="34">
      <c r="A34" s="16">
        <v>29.0</v>
      </c>
      <c r="B34" s="18" t="s">
        <v>168</v>
      </c>
      <c r="C34" s="20" t="s">
        <v>16</v>
      </c>
      <c r="D34" s="7"/>
    </row>
    <row r="35">
      <c r="A35" s="16">
        <v>30.0</v>
      </c>
      <c r="B35" s="18" t="s">
        <v>172</v>
      </c>
      <c r="C35" s="20" t="s">
        <v>16</v>
      </c>
      <c r="D35" s="7"/>
    </row>
    <row r="36">
      <c r="A36" s="16">
        <v>31.0</v>
      </c>
      <c r="B36" s="18" t="s">
        <v>176</v>
      </c>
      <c r="C36" s="20" t="s">
        <v>16</v>
      </c>
      <c r="D36" s="7"/>
    </row>
    <row r="37">
      <c r="A37" s="16">
        <v>32.0</v>
      </c>
      <c r="B37" s="18" t="s">
        <v>180</v>
      </c>
      <c r="C37" s="20" t="s">
        <v>16</v>
      </c>
      <c r="D37" s="7"/>
    </row>
    <row r="38">
      <c r="A38" s="16">
        <v>33.0</v>
      </c>
      <c r="B38" s="18" t="s">
        <v>183</v>
      </c>
      <c r="C38" s="20" t="s">
        <v>16</v>
      </c>
      <c r="D38" s="7"/>
    </row>
    <row r="39">
      <c r="A39" s="16">
        <v>34.0</v>
      </c>
      <c r="B39" s="18" t="s">
        <v>186</v>
      </c>
      <c r="C39" s="20" t="s">
        <v>16</v>
      </c>
      <c r="D39" s="7"/>
    </row>
    <row r="40">
      <c r="A40" s="16">
        <v>35.0</v>
      </c>
      <c r="B40" s="18" t="s">
        <v>189</v>
      </c>
      <c r="C40" s="20" t="s">
        <v>16</v>
      </c>
      <c r="D40" s="7"/>
    </row>
    <row r="41">
      <c r="A41" s="16">
        <v>36.0</v>
      </c>
      <c r="B41" s="18" t="s">
        <v>192</v>
      </c>
      <c r="C41" s="20" t="s">
        <v>16</v>
      </c>
      <c r="D41" s="7"/>
    </row>
    <row r="42">
      <c r="A42" s="16">
        <v>37.0</v>
      </c>
      <c r="B42" s="18" t="s">
        <v>198</v>
      </c>
      <c r="C42" s="20" t="s">
        <v>16</v>
      </c>
      <c r="D42" s="7"/>
    </row>
    <row r="43">
      <c r="A43" s="16">
        <v>38.0</v>
      </c>
      <c r="B43" s="18" t="s">
        <v>201</v>
      </c>
      <c r="C43" s="22" t="s">
        <v>16</v>
      </c>
      <c r="D43" s="7"/>
    </row>
    <row r="44">
      <c r="A44" s="16">
        <v>39.0</v>
      </c>
      <c r="B44" s="18" t="s">
        <v>203</v>
      </c>
      <c r="C44" s="20" t="s">
        <v>20</v>
      </c>
      <c r="D44" s="7"/>
    </row>
    <row r="45">
      <c r="A45" s="16">
        <v>40.0</v>
      </c>
      <c r="B45" s="18" t="s">
        <v>207</v>
      </c>
      <c r="C45" s="26" t="s">
        <v>16</v>
      </c>
      <c r="D45" s="7"/>
    </row>
    <row r="46">
      <c r="A46" s="16">
        <v>41.0</v>
      </c>
      <c r="B46" s="18" t="s">
        <v>211</v>
      </c>
      <c r="C46" s="26" t="s">
        <v>16</v>
      </c>
      <c r="D46" s="7"/>
    </row>
    <row r="47">
      <c r="A47" s="16">
        <v>42.0</v>
      </c>
      <c r="B47" s="18" t="s">
        <v>216</v>
      </c>
      <c r="C47" s="26" t="s">
        <v>16</v>
      </c>
      <c r="D47" s="7"/>
    </row>
    <row r="48">
      <c r="A48" s="16">
        <v>43.0</v>
      </c>
      <c r="B48" s="18" t="s">
        <v>219</v>
      </c>
      <c r="C48" s="26" t="s">
        <v>16</v>
      </c>
      <c r="D48" s="7"/>
    </row>
    <row r="49">
      <c r="A49" s="16">
        <v>44.0</v>
      </c>
      <c r="B49" s="18" t="s">
        <v>221</v>
      </c>
      <c r="C49" s="26" t="s">
        <v>16</v>
      </c>
      <c r="D49" s="7"/>
    </row>
    <row r="50">
      <c r="A50" s="16">
        <v>45.0</v>
      </c>
      <c r="B50" s="18" t="s">
        <v>224</v>
      </c>
      <c r="C50" s="26" t="s">
        <v>16</v>
      </c>
      <c r="D50" s="7"/>
    </row>
    <row r="51">
      <c r="A51" s="16">
        <v>46.0</v>
      </c>
      <c r="B51" s="18" t="s">
        <v>227</v>
      </c>
      <c r="C51" s="26" t="s">
        <v>16</v>
      </c>
      <c r="D51" s="7"/>
    </row>
    <row r="52">
      <c r="A52" s="28" t="s">
        <v>167</v>
      </c>
      <c r="B52" s="2"/>
      <c r="C52" s="3"/>
      <c r="D52" s="7"/>
    </row>
    <row r="53">
      <c r="A53" s="29" t="s">
        <v>171</v>
      </c>
      <c r="B53" s="2"/>
      <c r="C53" s="3"/>
      <c r="D53" s="30"/>
    </row>
  </sheetData>
  <mergeCells count="7">
    <mergeCell ref="A1:C1"/>
    <mergeCell ref="D1:D53"/>
    <mergeCell ref="A2:C2"/>
    <mergeCell ref="A3:C3"/>
    <mergeCell ref="A4:C4"/>
    <mergeCell ref="A52:C52"/>
    <mergeCell ref="A53:C53"/>
  </mergeCells>
  <conditionalFormatting sqref="C1:D51">
    <cfRule type="containsText" dxfId="0" priority="1" operator="containsText" text="Enrolled">
      <formula>NOT(ISERROR(SEARCH(("Enrolled"),(C1))))</formula>
    </cfRule>
  </conditionalFormatting>
  <conditionalFormatting sqref="C1:D51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9.38"/>
    <col customWidth="1" min="3" max="3" width="12.88"/>
    <col customWidth="1" min="4" max="4" width="9.88"/>
  </cols>
  <sheetData>
    <row r="1">
      <c r="A1" s="4" t="s">
        <v>4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4" t="s">
        <v>10</v>
      </c>
      <c r="B3" s="17"/>
      <c r="C3" s="19"/>
      <c r="D3" s="7"/>
    </row>
    <row r="4">
      <c r="A4" s="11" t="s">
        <v>8</v>
      </c>
      <c r="B4" s="2"/>
      <c r="C4" s="3"/>
      <c r="D4" s="7"/>
    </row>
    <row r="5">
      <c r="A5" s="12" t="s">
        <v>11</v>
      </c>
      <c r="B5" s="12" t="s">
        <v>12</v>
      </c>
      <c r="C5" s="13" t="s">
        <v>13</v>
      </c>
      <c r="D5" s="7"/>
    </row>
    <row r="6">
      <c r="A6" s="16">
        <v>1.0</v>
      </c>
      <c r="B6" s="18" t="s">
        <v>22</v>
      </c>
      <c r="C6" s="24" t="s">
        <v>16</v>
      </c>
      <c r="D6" s="7"/>
    </row>
    <row r="7">
      <c r="A7" s="16">
        <v>2.0</v>
      </c>
      <c r="B7" s="18" t="s">
        <v>25</v>
      </c>
      <c r="C7" s="24" t="s">
        <v>16</v>
      </c>
      <c r="D7" s="7"/>
    </row>
    <row r="8">
      <c r="A8" s="16">
        <v>3.0</v>
      </c>
      <c r="B8" s="18" t="s">
        <v>29</v>
      </c>
      <c r="C8" s="25" t="s">
        <v>16</v>
      </c>
      <c r="D8" s="7"/>
    </row>
    <row r="9">
      <c r="A9" s="16">
        <v>4.0</v>
      </c>
      <c r="B9" s="18" t="s">
        <v>34</v>
      </c>
      <c r="C9" s="24" t="s">
        <v>16</v>
      </c>
      <c r="D9" s="7"/>
    </row>
    <row r="10">
      <c r="A10" s="16">
        <v>5.0</v>
      </c>
      <c r="B10" s="18" t="s">
        <v>38</v>
      </c>
      <c r="C10" s="24" t="s">
        <v>16</v>
      </c>
      <c r="D10" s="7"/>
    </row>
    <row r="11">
      <c r="A11" s="16">
        <v>6.0</v>
      </c>
      <c r="B11" s="18" t="s">
        <v>44</v>
      </c>
      <c r="C11" s="24" t="s">
        <v>16</v>
      </c>
      <c r="D11" s="7"/>
    </row>
    <row r="12">
      <c r="A12" s="16">
        <v>7.0</v>
      </c>
      <c r="B12" s="18" t="s">
        <v>47</v>
      </c>
      <c r="C12" s="24" t="s">
        <v>16</v>
      </c>
      <c r="D12" s="7"/>
    </row>
    <row r="13">
      <c r="A13" s="16">
        <v>8.0</v>
      </c>
      <c r="B13" s="18" t="s">
        <v>51</v>
      </c>
      <c r="C13" s="24" t="s">
        <v>16</v>
      </c>
      <c r="D13" s="7"/>
    </row>
    <row r="14">
      <c r="A14" s="16">
        <v>9.0</v>
      </c>
      <c r="B14" s="18" t="s">
        <v>55</v>
      </c>
      <c r="C14" s="24" t="s">
        <v>16</v>
      </c>
      <c r="D14" s="7"/>
    </row>
    <row r="15">
      <c r="A15" s="16">
        <v>10.0</v>
      </c>
      <c r="B15" s="18" t="s">
        <v>59</v>
      </c>
      <c r="C15" s="24" t="s">
        <v>16</v>
      </c>
      <c r="D15" s="7"/>
    </row>
    <row r="16">
      <c r="A16" s="16">
        <v>11.0</v>
      </c>
      <c r="B16" s="18" t="s">
        <v>61</v>
      </c>
      <c r="C16" s="24" t="s">
        <v>16</v>
      </c>
      <c r="D16" s="7"/>
    </row>
    <row r="17">
      <c r="A17" s="16">
        <v>12.0</v>
      </c>
      <c r="B17" s="18" t="s">
        <v>66</v>
      </c>
      <c r="C17" s="24" t="s">
        <v>16</v>
      </c>
      <c r="D17" s="7"/>
    </row>
    <row r="18">
      <c r="A18" s="16">
        <v>13.0</v>
      </c>
      <c r="B18" s="18" t="s">
        <v>68</v>
      </c>
      <c r="C18" s="24" t="s">
        <v>16</v>
      </c>
      <c r="D18" s="7"/>
    </row>
    <row r="19">
      <c r="A19" s="16">
        <v>14.0</v>
      </c>
      <c r="B19" s="18" t="s">
        <v>71</v>
      </c>
      <c r="C19" s="24" t="s">
        <v>16</v>
      </c>
      <c r="D19" s="7"/>
    </row>
    <row r="20">
      <c r="A20" s="16">
        <v>15.0</v>
      </c>
      <c r="B20" s="18" t="s">
        <v>74</v>
      </c>
      <c r="C20" s="24" t="s">
        <v>16</v>
      </c>
      <c r="D20" s="7"/>
    </row>
    <row r="21">
      <c r="A21" s="16">
        <v>16.0</v>
      </c>
      <c r="B21" s="18" t="s">
        <v>77</v>
      </c>
      <c r="C21" s="24" t="s">
        <v>16</v>
      </c>
      <c r="D21" s="7"/>
    </row>
    <row r="22">
      <c r="A22" s="16">
        <v>17.0</v>
      </c>
      <c r="B22" s="18" t="s">
        <v>82</v>
      </c>
      <c r="C22" s="24" t="s">
        <v>16</v>
      </c>
      <c r="D22" s="7"/>
    </row>
    <row r="23">
      <c r="A23" s="16">
        <v>18.0</v>
      </c>
      <c r="B23" s="18" t="s">
        <v>86</v>
      </c>
      <c r="C23" s="24" t="s">
        <v>16</v>
      </c>
      <c r="D23" s="7"/>
    </row>
    <row r="24">
      <c r="A24" s="16">
        <v>19.0</v>
      </c>
      <c r="B24" s="18" t="s">
        <v>90</v>
      </c>
      <c r="C24" s="24" t="s">
        <v>16</v>
      </c>
      <c r="D24" s="7"/>
    </row>
    <row r="25">
      <c r="A25" s="16">
        <v>20.0</v>
      </c>
      <c r="B25" s="18" t="s">
        <v>94</v>
      </c>
      <c r="C25" s="24" t="s">
        <v>16</v>
      </c>
      <c r="D25" s="7"/>
    </row>
    <row r="26">
      <c r="A26" s="16">
        <v>21.0</v>
      </c>
      <c r="B26" s="18" t="s">
        <v>97</v>
      </c>
      <c r="C26" s="24" t="s">
        <v>16</v>
      </c>
      <c r="D26" s="7"/>
    </row>
    <row r="27">
      <c r="A27" s="16">
        <v>22.0</v>
      </c>
      <c r="B27" s="18" t="s">
        <v>100</v>
      </c>
      <c r="C27" s="24" t="s">
        <v>16</v>
      </c>
      <c r="D27" s="7"/>
    </row>
    <row r="28">
      <c r="A28" s="16">
        <v>23.0</v>
      </c>
      <c r="B28" s="18" t="s">
        <v>102</v>
      </c>
      <c r="C28" s="24" t="s">
        <v>16</v>
      </c>
      <c r="D28" s="7"/>
    </row>
    <row r="29">
      <c r="A29" s="16">
        <v>24.0</v>
      </c>
      <c r="B29" s="18" t="s">
        <v>107</v>
      </c>
      <c r="C29" s="24" t="s">
        <v>16</v>
      </c>
      <c r="D29" s="7"/>
    </row>
    <row r="30">
      <c r="A30" s="16">
        <v>25.0</v>
      </c>
      <c r="B30" s="18" t="s">
        <v>111</v>
      </c>
      <c r="C30" s="24" t="s">
        <v>16</v>
      </c>
      <c r="D30" s="7"/>
    </row>
    <row r="31">
      <c r="A31" s="16">
        <v>26.0</v>
      </c>
      <c r="B31" s="18" t="s">
        <v>115</v>
      </c>
      <c r="C31" s="24" t="s">
        <v>16</v>
      </c>
      <c r="D31" s="7"/>
    </row>
    <row r="32">
      <c r="A32" s="16">
        <v>27.0</v>
      </c>
      <c r="B32" s="18" t="s">
        <v>118</v>
      </c>
      <c r="C32" s="24" t="s">
        <v>16</v>
      </c>
      <c r="D32" s="7"/>
    </row>
    <row r="33">
      <c r="A33" s="16">
        <v>28.0</v>
      </c>
      <c r="B33" s="18" t="s">
        <v>125</v>
      </c>
      <c r="C33" s="24" t="s">
        <v>16</v>
      </c>
      <c r="D33" s="7"/>
    </row>
    <row r="34">
      <c r="A34" s="16">
        <v>29.0</v>
      </c>
      <c r="B34" s="18" t="s">
        <v>130</v>
      </c>
      <c r="C34" s="24" t="s">
        <v>16</v>
      </c>
      <c r="D34" s="7"/>
    </row>
    <row r="35">
      <c r="A35" s="16">
        <v>30.0</v>
      </c>
      <c r="B35" s="18" t="s">
        <v>133</v>
      </c>
      <c r="C35" s="24" t="s">
        <v>16</v>
      </c>
      <c r="D35" s="7"/>
    </row>
    <row r="36">
      <c r="A36" s="16">
        <v>31.0</v>
      </c>
      <c r="B36" s="18" t="s">
        <v>137</v>
      </c>
      <c r="C36" s="24" t="s">
        <v>16</v>
      </c>
      <c r="D36" s="7"/>
    </row>
    <row r="37">
      <c r="A37" s="16">
        <v>32.0</v>
      </c>
      <c r="B37" s="18" t="s">
        <v>141</v>
      </c>
      <c r="C37" s="24" t="s">
        <v>16</v>
      </c>
      <c r="D37" s="7"/>
    </row>
    <row r="38">
      <c r="A38" s="16">
        <v>33.0</v>
      </c>
      <c r="B38" s="18" t="s">
        <v>146</v>
      </c>
      <c r="C38" s="24" t="s">
        <v>16</v>
      </c>
      <c r="D38" s="7"/>
    </row>
    <row r="39">
      <c r="A39" s="16">
        <v>34.0</v>
      </c>
      <c r="B39" s="18" t="s">
        <v>149</v>
      </c>
      <c r="C39" s="24" t="s">
        <v>16</v>
      </c>
      <c r="D39" s="7"/>
    </row>
    <row r="40">
      <c r="A40" s="16">
        <v>35.0</v>
      </c>
      <c r="B40" s="18" t="s">
        <v>152</v>
      </c>
      <c r="C40" s="24" t="s">
        <v>16</v>
      </c>
      <c r="D40" s="7"/>
    </row>
    <row r="41">
      <c r="A41" s="16">
        <v>36.0</v>
      </c>
      <c r="B41" s="18" t="s">
        <v>157</v>
      </c>
      <c r="C41" s="24" t="s">
        <v>16</v>
      </c>
      <c r="D41" s="7"/>
    </row>
    <row r="42">
      <c r="A42" s="16">
        <v>37.0</v>
      </c>
      <c r="B42" s="18" t="s">
        <v>160</v>
      </c>
      <c r="C42" s="24" t="s">
        <v>16</v>
      </c>
      <c r="D42" s="7"/>
    </row>
    <row r="43">
      <c r="A43" s="16">
        <v>38.0</v>
      </c>
      <c r="B43" s="18" t="s">
        <v>164</v>
      </c>
      <c r="C43" s="24" t="s">
        <v>16</v>
      </c>
      <c r="D43" s="7"/>
    </row>
    <row r="44">
      <c r="A44" s="16">
        <v>39.0</v>
      </c>
      <c r="B44" s="18" t="s">
        <v>166</v>
      </c>
      <c r="C44" s="24" t="s">
        <v>16</v>
      </c>
      <c r="D44" s="7"/>
    </row>
    <row r="45">
      <c r="A45" s="16">
        <v>40.0</v>
      </c>
      <c r="B45" s="18" t="s">
        <v>170</v>
      </c>
      <c r="C45" s="21" t="s">
        <v>16</v>
      </c>
      <c r="D45" s="7"/>
    </row>
    <row r="46">
      <c r="A46" s="16">
        <v>41.0</v>
      </c>
      <c r="B46" s="18" t="s">
        <v>174</v>
      </c>
      <c r="C46" s="21" t="s">
        <v>16</v>
      </c>
      <c r="D46" s="7"/>
    </row>
    <row r="47">
      <c r="A47" s="16">
        <v>42.0</v>
      </c>
      <c r="B47" s="18" t="s">
        <v>177</v>
      </c>
      <c r="C47" s="21" t="s">
        <v>16</v>
      </c>
      <c r="D47" s="7"/>
    </row>
    <row r="48">
      <c r="A48" s="16">
        <v>43.0</v>
      </c>
      <c r="B48" s="18" t="s">
        <v>178</v>
      </c>
      <c r="C48" s="21" t="s">
        <v>16</v>
      </c>
      <c r="D48" s="7"/>
    </row>
    <row r="49">
      <c r="A49" s="16">
        <v>44.0</v>
      </c>
      <c r="B49" s="18" t="s">
        <v>181</v>
      </c>
      <c r="C49" s="21" t="s">
        <v>16</v>
      </c>
      <c r="D49" s="7"/>
    </row>
    <row r="50">
      <c r="A50" s="16">
        <v>45.0</v>
      </c>
      <c r="B50" s="18" t="s">
        <v>184</v>
      </c>
      <c r="C50" s="21" t="s">
        <v>16</v>
      </c>
      <c r="D50" s="7"/>
    </row>
    <row r="51">
      <c r="A51" s="16">
        <v>46.0</v>
      </c>
      <c r="B51" s="18" t="s">
        <v>187</v>
      </c>
      <c r="C51" s="21" t="s">
        <v>16</v>
      </c>
      <c r="D51" s="7"/>
    </row>
    <row r="52">
      <c r="A52" s="28" t="s">
        <v>167</v>
      </c>
      <c r="B52" s="2"/>
      <c r="C52" s="3"/>
      <c r="D52" s="7"/>
    </row>
    <row r="53">
      <c r="A53" s="29" t="s">
        <v>171</v>
      </c>
      <c r="B53" s="2"/>
      <c r="C53" s="3"/>
      <c r="D53" s="30"/>
    </row>
  </sheetData>
  <mergeCells count="6">
    <mergeCell ref="A1:C1"/>
    <mergeCell ref="D1:D53"/>
    <mergeCell ref="A2:C2"/>
    <mergeCell ref="A4:C4"/>
    <mergeCell ref="A52:C52"/>
    <mergeCell ref="A53:C53"/>
  </mergeCells>
  <conditionalFormatting sqref="C1:D51">
    <cfRule type="containsText" dxfId="0" priority="1" operator="containsText" text="Enrolled">
      <formula>NOT(ISERROR(SEARCH(("Enrolled"),(C1))))</formula>
    </cfRule>
  </conditionalFormatting>
  <conditionalFormatting sqref="C1:D51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0.13"/>
    <col customWidth="1" min="3" max="3" width="12.88"/>
    <col customWidth="1" min="4" max="4" width="9.88"/>
  </cols>
  <sheetData>
    <row r="1">
      <c r="A1" s="4" t="s">
        <v>190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195</v>
      </c>
      <c r="B3" s="9"/>
      <c r="C3" s="10"/>
      <c r="D3" s="7"/>
    </row>
    <row r="4">
      <c r="A4" s="11" t="s">
        <v>15</v>
      </c>
      <c r="B4" s="2"/>
      <c r="C4" s="3"/>
      <c r="D4" s="7"/>
    </row>
    <row r="5">
      <c r="A5" s="12" t="s">
        <v>11</v>
      </c>
      <c r="B5" s="12" t="s">
        <v>12</v>
      </c>
      <c r="C5" s="31" t="s">
        <v>13</v>
      </c>
      <c r="D5" s="7"/>
    </row>
    <row r="6">
      <c r="A6" s="16">
        <v>1.0</v>
      </c>
      <c r="B6" s="18" t="s">
        <v>206</v>
      </c>
      <c r="C6" s="33" t="s">
        <v>16</v>
      </c>
      <c r="D6" s="7"/>
    </row>
    <row r="7">
      <c r="A7" s="16">
        <v>2.0</v>
      </c>
      <c r="B7" s="18" t="s">
        <v>208</v>
      </c>
      <c r="C7" s="33" t="s">
        <v>16</v>
      </c>
      <c r="D7" s="7"/>
    </row>
    <row r="8">
      <c r="A8" s="16">
        <v>3.0</v>
      </c>
      <c r="B8" s="18" t="s">
        <v>210</v>
      </c>
      <c r="C8" s="33" t="s">
        <v>16</v>
      </c>
      <c r="D8" s="7"/>
    </row>
    <row r="9">
      <c r="A9" s="16">
        <v>4.0</v>
      </c>
      <c r="B9" s="18" t="s">
        <v>212</v>
      </c>
      <c r="C9" s="33" t="s">
        <v>16</v>
      </c>
      <c r="D9" s="7"/>
    </row>
    <row r="10">
      <c r="A10" s="16">
        <v>5.0</v>
      </c>
      <c r="B10" s="18" t="s">
        <v>214</v>
      </c>
      <c r="C10" s="33" t="s">
        <v>16</v>
      </c>
      <c r="D10" s="7"/>
    </row>
    <row r="11">
      <c r="A11" s="16">
        <v>6.0</v>
      </c>
      <c r="B11" s="18" t="s">
        <v>217</v>
      </c>
      <c r="C11" s="33" t="s">
        <v>16</v>
      </c>
      <c r="D11" s="7"/>
    </row>
    <row r="12">
      <c r="A12" s="16">
        <v>7.0</v>
      </c>
      <c r="B12" s="18" t="s">
        <v>218</v>
      </c>
      <c r="C12" s="33" t="s">
        <v>16</v>
      </c>
      <c r="D12" s="7"/>
    </row>
    <row r="13">
      <c r="A13" s="16">
        <v>8.0</v>
      </c>
      <c r="B13" s="18" t="s">
        <v>220</v>
      </c>
      <c r="C13" s="33" t="s">
        <v>16</v>
      </c>
      <c r="D13" s="7"/>
    </row>
    <row r="14">
      <c r="A14" s="16">
        <v>9.0</v>
      </c>
      <c r="B14" s="18" t="s">
        <v>222</v>
      </c>
      <c r="C14" s="33" t="s">
        <v>16</v>
      </c>
      <c r="D14" s="7"/>
    </row>
    <row r="15">
      <c r="A15" s="16">
        <v>10.0</v>
      </c>
      <c r="B15" s="18" t="s">
        <v>223</v>
      </c>
      <c r="C15" s="33" t="s">
        <v>16</v>
      </c>
      <c r="D15" s="7"/>
    </row>
    <row r="16">
      <c r="A16" s="16">
        <v>11.0</v>
      </c>
      <c r="B16" s="18" t="s">
        <v>225</v>
      </c>
      <c r="C16" s="33" t="s">
        <v>16</v>
      </c>
      <c r="D16" s="7"/>
    </row>
    <row r="17">
      <c r="A17" s="16">
        <v>12.0</v>
      </c>
      <c r="B17" s="18" t="s">
        <v>226</v>
      </c>
      <c r="C17" s="33" t="s">
        <v>16</v>
      </c>
      <c r="D17" s="7"/>
    </row>
    <row r="18">
      <c r="A18" s="16">
        <v>13.0</v>
      </c>
      <c r="B18" s="18" t="s">
        <v>229</v>
      </c>
      <c r="C18" s="33" t="s">
        <v>16</v>
      </c>
      <c r="D18" s="7"/>
    </row>
    <row r="19">
      <c r="A19" s="16">
        <v>14.0</v>
      </c>
      <c r="B19" s="18" t="s">
        <v>230</v>
      </c>
      <c r="C19" s="33" t="s">
        <v>16</v>
      </c>
      <c r="D19" s="7"/>
    </row>
    <row r="20">
      <c r="A20" s="16">
        <v>15.0</v>
      </c>
      <c r="B20" s="18" t="s">
        <v>232</v>
      </c>
      <c r="C20" s="33" t="s">
        <v>16</v>
      </c>
      <c r="D20" s="7"/>
    </row>
    <row r="21">
      <c r="A21" s="16">
        <v>16.0</v>
      </c>
      <c r="B21" s="18" t="s">
        <v>234</v>
      </c>
      <c r="C21" s="33" t="s">
        <v>16</v>
      </c>
      <c r="D21" s="7"/>
    </row>
    <row r="22">
      <c r="A22" s="16">
        <v>17.0</v>
      </c>
      <c r="B22" s="18" t="s">
        <v>236</v>
      </c>
      <c r="C22" s="33" t="s">
        <v>16</v>
      </c>
      <c r="D22" s="7"/>
    </row>
    <row r="23">
      <c r="A23" s="16">
        <v>18.0</v>
      </c>
      <c r="B23" s="18" t="s">
        <v>238</v>
      </c>
      <c r="C23" s="33" t="s">
        <v>16</v>
      </c>
      <c r="D23" s="7"/>
    </row>
    <row r="24">
      <c r="A24" s="16">
        <v>19.0</v>
      </c>
      <c r="B24" s="18" t="s">
        <v>240</v>
      </c>
      <c r="C24" s="33" t="s">
        <v>16</v>
      </c>
      <c r="D24" s="7"/>
    </row>
    <row r="25">
      <c r="A25" s="16">
        <v>20.0</v>
      </c>
      <c r="B25" s="18" t="s">
        <v>241</v>
      </c>
      <c r="C25" s="33" t="s">
        <v>16</v>
      </c>
      <c r="D25" s="7"/>
    </row>
    <row r="26">
      <c r="A26" s="16">
        <v>21.0</v>
      </c>
      <c r="B26" s="18" t="s">
        <v>243</v>
      </c>
      <c r="C26" s="33" t="s">
        <v>16</v>
      </c>
      <c r="D26" s="7"/>
    </row>
    <row r="27">
      <c r="A27" s="16">
        <v>22.0</v>
      </c>
      <c r="B27" s="18" t="s">
        <v>245</v>
      </c>
      <c r="C27" s="33" t="s">
        <v>16</v>
      </c>
      <c r="D27" s="7"/>
    </row>
    <row r="28">
      <c r="A28" s="16">
        <v>23.0</v>
      </c>
      <c r="B28" s="18" t="s">
        <v>248</v>
      </c>
      <c r="C28" s="33" t="s">
        <v>16</v>
      </c>
      <c r="D28" s="7"/>
    </row>
    <row r="29">
      <c r="A29" s="16">
        <v>24.0</v>
      </c>
      <c r="B29" s="18" t="s">
        <v>250</v>
      </c>
      <c r="C29" s="33" t="s">
        <v>16</v>
      </c>
      <c r="D29" s="7"/>
    </row>
    <row r="30">
      <c r="A30" s="16">
        <v>25.0</v>
      </c>
      <c r="B30" s="18" t="s">
        <v>251</v>
      </c>
      <c r="C30" s="33" t="s">
        <v>16</v>
      </c>
      <c r="D30" s="7"/>
    </row>
    <row r="31">
      <c r="A31" s="16">
        <v>26.0</v>
      </c>
      <c r="B31" s="18" t="s">
        <v>254</v>
      </c>
      <c r="C31" s="33" t="s">
        <v>16</v>
      </c>
      <c r="D31" s="7"/>
    </row>
    <row r="32">
      <c r="A32" s="16">
        <v>27.0</v>
      </c>
      <c r="B32" s="18" t="s">
        <v>256</v>
      </c>
      <c r="C32" s="33" t="s">
        <v>16</v>
      </c>
      <c r="D32" s="7"/>
    </row>
    <row r="33">
      <c r="A33" s="16">
        <v>28.0</v>
      </c>
      <c r="B33" s="18" t="s">
        <v>257</v>
      </c>
      <c r="C33" s="33" t="s">
        <v>16</v>
      </c>
      <c r="D33" s="7"/>
    </row>
    <row r="34">
      <c r="A34" s="16">
        <v>29.0</v>
      </c>
      <c r="B34" s="18" t="s">
        <v>259</v>
      </c>
      <c r="C34" s="33" t="s">
        <v>16</v>
      </c>
      <c r="D34" s="7"/>
    </row>
    <row r="35">
      <c r="A35" s="16">
        <v>30.0</v>
      </c>
      <c r="B35" s="18" t="s">
        <v>261</v>
      </c>
      <c r="C35" s="33" t="s">
        <v>16</v>
      </c>
      <c r="D35" s="7"/>
    </row>
    <row r="36">
      <c r="A36" s="16">
        <v>31.0</v>
      </c>
      <c r="B36" s="18" t="s">
        <v>263</v>
      </c>
      <c r="C36" s="33" t="s">
        <v>16</v>
      </c>
      <c r="D36" s="7"/>
    </row>
    <row r="37">
      <c r="A37" s="16">
        <v>32.0</v>
      </c>
      <c r="B37" s="18" t="s">
        <v>264</v>
      </c>
      <c r="C37" s="33" t="s">
        <v>16</v>
      </c>
      <c r="D37" s="7"/>
    </row>
    <row r="38">
      <c r="A38" s="16">
        <v>33.0</v>
      </c>
      <c r="B38" s="18" t="s">
        <v>268</v>
      </c>
      <c r="C38" s="33" t="s">
        <v>16</v>
      </c>
      <c r="D38" s="7"/>
    </row>
    <row r="39">
      <c r="A39" s="16">
        <v>34.0</v>
      </c>
      <c r="B39" s="18" t="s">
        <v>271</v>
      </c>
      <c r="C39" s="33" t="s">
        <v>16</v>
      </c>
      <c r="D39" s="7"/>
    </row>
    <row r="40">
      <c r="A40" s="16">
        <v>35.0</v>
      </c>
      <c r="B40" s="18" t="s">
        <v>273</v>
      </c>
      <c r="C40" s="33" t="s">
        <v>16</v>
      </c>
      <c r="D40" s="7"/>
    </row>
    <row r="41">
      <c r="A41" s="16">
        <v>36.0</v>
      </c>
      <c r="B41" s="18" t="s">
        <v>275</v>
      </c>
      <c r="C41" s="33" t="s">
        <v>16</v>
      </c>
      <c r="D41" s="7"/>
    </row>
    <row r="42">
      <c r="A42" s="16">
        <v>37.0</v>
      </c>
      <c r="B42" s="18" t="s">
        <v>278</v>
      </c>
      <c r="C42" s="33" t="s">
        <v>16</v>
      </c>
      <c r="D42" s="7"/>
    </row>
    <row r="43">
      <c r="A43" s="16">
        <v>38.0</v>
      </c>
      <c r="B43" s="18" t="s">
        <v>281</v>
      </c>
      <c r="C43" s="33" t="s">
        <v>16</v>
      </c>
      <c r="D43" s="7"/>
    </row>
    <row r="44">
      <c r="A44" s="16">
        <v>39.0</v>
      </c>
      <c r="B44" s="18" t="s">
        <v>284</v>
      </c>
      <c r="C44" s="33" t="s">
        <v>16</v>
      </c>
      <c r="D44" s="7"/>
    </row>
    <row r="45">
      <c r="A45" s="16">
        <v>40.0</v>
      </c>
      <c r="B45" s="18" t="s">
        <v>286</v>
      </c>
      <c r="C45" s="35" t="s">
        <v>16</v>
      </c>
      <c r="D45" s="7"/>
    </row>
    <row r="46">
      <c r="A46" s="16">
        <v>41.0</v>
      </c>
      <c r="B46" s="18" t="s">
        <v>290</v>
      </c>
      <c r="C46" s="35" t="s">
        <v>16</v>
      </c>
      <c r="D46" s="7"/>
    </row>
    <row r="47">
      <c r="A47" s="16">
        <v>42.0</v>
      </c>
      <c r="B47" s="18" t="s">
        <v>293</v>
      </c>
      <c r="C47" s="35" t="s">
        <v>16</v>
      </c>
      <c r="D47" s="7"/>
    </row>
    <row r="48">
      <c r="A48" s="16">
        <v>43.0</v>
      </c>
      <c r="B48" s="18" t="s">
        <v>297</v>
      </c>
      <c r="C48" s="35" t="s">
        <v>16</v>
      </c>
      <c r="D48" s="7"/>
    </row>
    <row r="49">
      <c r="A49" s="16">
        <v>44.0</v>
      </c>
      <c r="B49" s="18" t="s">
        <v>301</v>
      </c>
      <c r="C49" s="35" t="s">
        <v>16</v>
      </c>
      <c r="D49" s="7"/>
    </row>
    <row r="50">
      <c r="A50" s="16">
        <v>45.0</v>
      </c>
      <c r="B50" s="18" t="s">
        <v>305</v>
      </c>
      <c r="C50" s="35" t="s">
        <v>16</v>
      </c>
      <c r="D50" s="7"/>
    </row>
    <row r="51">
      <c r="A51" s="16">
        <v>46.0</v>
      </c>
      <c r="B51" s="18" t="s">
        <v>310</v>
      </c>
      <c r="C51" s="35" t="s">
        <v>16</v>
      </c>
      <c r="D51" s="7"/>
    </row>
    <row r="52">
      <c r="A52" s="28" t="s">
        <v>167</v>
      </c>
      <c r="B52" s="2"/>
      <c r="C52" s="3"/>
      <c r="D52" s="7"/>
    </row>
    <row r="53">
      <c r="A53" s="29" t="s">
        <v>171</v>
      </c>
      <c r="B53" s="2"/>
      <c r="C53" s="3"/>
      <c r="D53" s="30"/>
    </row>
  </sheetData>
  <mergeCells count="7">
    <mergeCell ref="A1:C1"/>
    <mergeCell ref="D1:D53"/>
    <mergeCell ref="A2:C2"/>
    <mergeCell ref="A3:C3"/>
    <mergeCell ref="A4:C4"/>
    <mergeCell ref="A52:C52"/>
    <mergeCell ref="A53:C53"/>
  </mergeCells>
  <conditionalFormatting sqref="C1:D51">
    <cfRule type="containsText" dxfId="0" priority="1" operator="containsText" text="Enrolled">
      <formula>NOT(ISERROR(SEARCH(("Enrolled"),(C1))))</formula>
    </cfRule>
  </conditionalFormatting>
  <conditionalFormatting sqref="C1:D51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0.13"/>
    <col customWidth="1" min="3" max="3" width="12.88"/>
    <col customWidth="1" min="4" max="4" width="9.88"/>
  </cols>
  <sheetData>
    <row r="1">
      <c r="A1" s="4" t="s">
        <v>204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215</v>
      </c>
      <c r="B3" s="9"/>
      <c r="C3" s="10"/>
      <c r="D3" s="7"/>
    </row>
    <row r="4">
      <c r="A4" s="11" t="s">
        <v>18</v>
      </c>
      <c r="B4" s="2"/>
      <c r="C4" s="3"/>
      <c r="D4" s="7"/>
    </row>
    <row r="5">
      <c r="A5" s="12" t="s">
        <v>11</v>
      </c>
      <c r="B5" s="12" t="s">
        <v>12</v>
      </c>
      <c r="C5" s="13" t="s">
        <v>13</v>
      </c>
      <c r="D5" s="7"/>
    </row>
    <row r="6">
      <c r="A6" s="16">
        <v>1.0</v>
      </c>
      <c r="B6" s="18" t="s">
        <v>228</v>
      </c>
      <c r="C6" s="24" t="s">
        <v>16</v>
      </c>
      <c r="D6" s="7"/>
    </row>
    <row r="7">
      <c r="A7" s="16">
        <v>2.0</v>
      </c>
      <c r="B7" s="18" t="s">
        <v>231</v>
      </c>
      <c r="C7" s="24" t="s">
        <v>16</v>
      </c>
      <c r="D7" s="7"/>
    </row>
    <row r="8">
      <c r="A8" s="16">
        <v>3.0</v>
      </c>
      <c r="B8" s="18" t="s">
        <v>233</v>
      </c>
      <c r="C8" s="24" t="s">
        <v>16</v>
      </c>
      <c r="D8" s="7"/>
    </row>
    <row r="9">
      <c r="A9" s="16">
        <v>4.0</v>
      </c>
      <c r="B9" s="18" t="s">
        <v>237</v>
      </c>
      <c r="C9" s="24" t="s">
        <v>16</v>
      </c>
      <c r="D9" s="7"/>
    </row>
    <row r="10">
      <c r="A10" s="16">
        <v>5.0</v>
      </c>
      <c r="B10" s="18" t="s">
        <v>239</v>
      </c>
      <c r="C10" s="24" t="s">
        <v>16</v>
      </c>
      <c r="D10" s="7"/>
    </row>
    <row r="11">
      <c r="A11" s="16">
        <v>6.0</v>
      </c>
      <c r="B11" s="18" t="s">
        <v>242</v>
      </c>
      <c r="C11" s="24" t="s">
        <v>16</v>
      </c>
      <c r="D11" s="7"/>
    </row>
    <row r="12">
      <c r="A12" s="16">
        <v>7.0</v>
      </c>
      <c r="B12" s="18" t="s">
        <v>244</v>
      </c>
      <c r="C12" s="24" t="s">
        <v>16</v>
      </c>
      <c r="D12" s="7"/>
    </row>
    <row r="13">
      <c r="A13" s="16">
        <v>8.0</v>
      </c>
      <c r="B13" s="18" t="s">
        <v>247</v>
      </c>
      <c r="C13" s="25" t="s">
        <v>16</v>
      </c>
      <c r="D13" s="7"/>
    </row>
    <row r="14">
      <c r="A14" s="16">
        <v>9.0</v>
      </c>
      <c r="B14" s="18" t="s">
        <v>249</v>
      </c>
      <c r="C14" s="24" t="s">
        <v>16</v>
      </c>
      <c r="D14" s="7"/>
    </row>
    <row r="15">
      <c r="A15" s="16">
        <v>10.0</v>
      </c>
      <c r="B15" s="18" t="s">
        <v>252</v>
      </c>
      <c r="C15" s="24" t="s">
        <v>16</v>
      </c>
      <c r="D15" s="7"/>
    </row>
    <row r="16">
      <c r="A16" s="16">
        <v>11.0</v>
      </c>
      <c r="B16" s="18" t="s">
        <v>255</v>
      </c>
      <c r="C16" s="24" t="s">
        <v>16</v>
      </c>
      <c r="D16" s="7"/>
    </row>
    <row r="17">
      <c r="A17" s="16">
        <v>12.0</v>
      </c>
      <c r="B17" s="18" t="s">
        <v>258</v>
      </c>
      <c r="C17" s="24" t="s">
        <v>16</v>
      </c>
      <c r="D17" s="7"/>
    </row>
    <row r="18">
      <c r="A18" s="16">
        <v>13.0</v>
      </c>
      <c r="B18" s="18" t="s">
        <v>260</v>
      </c>
      <c r="C18" s="24" t="s">
        <v>16</v>
      </c>
      <c r="D18" s="7"/>
    </row>
    <row r="19">
      <c r="A19" s="16">
        <v>14.0</v>
      </c>
      <c r="B19" s="18" t="s">
        <v>262</v>
      </c>
      <c r="C19" s="24" t="s">
        <v>16</v>
      </c>
      <c r="D19" s="7"/>
    </row>
    <row r="20">
      <c r="A20" s="16">
        <v>15.0</v>
      </c>
      <c r="B20" s="18" t="s">
        <v>265</v>
      </c>
      <c r="C20" s="24" t="s">
        <v>16</v>
      </c>
      <c r="D20" s="7"/>
    </row>
    <row r="21">
      <c r="A21" s="16">
        <v>16.0</v>
      </c>
      <c r="B21" s="18" t="s">
        <v>269</v>
      </c>
      <c r="C21" s="24" t="s">
        <v>16</v>
      </c>
      <c r="D21" s="7"/>
    </row>
    <row r="22">
      <c r="A22" s="16">
        <v>17.0</v>
      </c>
      <c r="B22" s="18" t="s">
        <v>272</v>
      </c>
      <c r="C22" s="24" t="s">
        <v>16</v>
      </c>
      <c r="D22" s="7"/>
    </row>
    <row r="23">
      <c r="A23" s="16">
        <v>18.0</v>
      </c>
      <c r="B23" s="18" t="s">
        <v>277</v>
      </c>
      <c r="C23" s="24" t="s">
        <v>16</v>
      </c>
      <c r="D23" s="7"/>
    </row>
    <row r="24">
      <c r="A24" s="16">
        <v>19.0</v>
      </c>
      <c r="B24" s="18" t="s">
        <v>280</v>
      </c>
      <c r="C24" s="24" t="s">
        <v>16</v>
      </c>
      <c r="D24" s="7"/>
    </row>
    <row r="25">
      <c r="A25" s="16">
        <v>20.0</v>
      </c>
      <c r="B25" s="18" t="s">
        <v>283</v>
      </c>
      <c r="C25" s="24" t="s">
        <v>16</v>
      </c>
      <c r="D25" s="7"/>
    </row>
    <row r="26">
      <c r="A26" s="16">
        <v>21.0</v>
      </c>
      <c r="B26" s="18" t="s">
        <v>288</v>
      </c>
      <c r="C26" s="24" t="s">
        <v>16</v>
      </c>
      <c r="D26" s="7"/>
    </row>
    <row r="27">
      <c r="A27" s="16">
        <v>22.0</v>
      </c>
      <c r="B27" s="18" t="s">
        <v>291</v>
      </c>
      <c r="C27" s="24" t="s">
        <v>16</v>
      </c>
      <c r="D27" s="7"/>
    </row>
    <row r="28">
      <c r="A28" s="16">
        <v>23.0</v>
      </c>
      <c r="B28" s="18" t="s">
        <v>296</v>
      </c>
      <c r="C28" s="24" t="s">
        <v>16</v>
      </c>
      <c r="D28" s="7"/>
    </row>
    <row r="29">
      <c r="A29" s="16">
        <v>24.0</v>
      </c>
      <c r="B29" s="18" t="s">
        <v>300</v>
      </c>
      <c r="C29" s="24" t="s">
        <v>16</v>
      </c>
      <c r="D29" s="7"/>
    </row>
    <row r="30">
      <c r="A30" s="16">
        <v>25.0</v>
      </c>
      <c r="B30" s="18" t="s">
        <v>306</v>
      </c>
      <c r="C30" s="24" t="s">
        <v>16</v>
      </c>
      <c r="D30" s="7"/>
    </row>
    <row r="31">
      <c r="A31" s="16">
        <v>26.0</v>
      </c>
      <c r="B31" s="18" t="s">
        <v>309</v>
      </c>
      <c r="C31" s="24" t="s">
        <v>16</v>
      </c>
      <c r="D31" s="7"/>
    </row>
    <row r="32">
      <c r="A32" s="16">
        <v>27.0</v>
      </c>
      <c r="B32" s="18" t="s">
        <v>313</v>
      </c>
      <c r="C32" s="24" t="s">
        <v>16</v>
      </c>
      <c r="D32" s="7"/>
    </row>
    <row r="33">
      <c r="A33" s="16">
        <v>28.0</v>
      </c>
      <c r="B33" s="18" t="s">
        <v>316</v>
      </c>
      <c r="C33" s="24" t="s">
        <v>20</v>
      </c>
      <c r="D33" s="7"/>
    </row>
    <row r="34">
      <c r="A34" s="16">
        <v>29.0</v>
      </c>
      <c r="B34" s="18" t="s">
        <v>319</v>
      </c>
      <c r="C34" s="24" t="s">
        <v>16</v>
      </c>
      <c r="D34" s="7"/>
    </row>
    <row r="35">
      <c r="A35" s="16">
        <v>30.0</v>
      </c>
      <c r="B35" s="18" t="s">
        <v>324</v>
      </c>
      <c r="C35" s="24" t="s">
        <v>20</v>
      </c>
      <c r="D35" s="7"/>
    </row>
    <row r="36">
      <c r="A36" s="16">
        <v>31.0</v>
      </c>
      <c r="B36" s="18" t="s">
        <v>327</v>
      </c>
      <c r="C36" s="24" t="s">
        <v>16</v>
      </c>
      <c r="D36" s="7"/>
    </row>
    <row r="37">
      <c r="A37" s="16">
        <v>32.0</v>
      </c>
      <c r="B37" s="18" t="s">
        <v>329</v>
      </c>
      <c r="C37" s="24" t="s">
        <v>16</v>
      </c>
      <c r="D37" s="7"/>
    </row>
    <row r="38">
      <c r="A38" s="16">
        <v>33.0</v>
      </c>
      <c r="B38" s="18" t="s">
        <v>333</v>
      </c>
      <c r="C38" s="24" t="s">
        <v>16</v>
      </c>
      <c r="D38" s="7"/>
    </row>
    <row r="39">
      <c r="A39" s="16">
        <v>34.0</v>
      </c>
      <c r="B39" s="18" t="s">
        <v>336</v>
      </c>
      <c r="C39" s="24" t="s">
        <v>16</v>
      </c>
      <c r="D39" s="7"/>
    </row>
    <row r="40">
      <c r="A40" s="16">
        <v>35.0</v>
      </c>
      <c r="B40" s="18" t="s">
        <v>340</v>
      </c>
      <c r="C40" s="24" t="s">
        <v>16</v>
      </c>
      <c r="D40" s="7"/>
    </row>
    <row r="41">
      <c r="A41" s="16">
        <v>36.0</v>
      </c>
      <c r="B41" s="18" t="s">
        <v>345</v>
      </c>
      <c r="C41" s="24" t="s">
        <v>16</v>
      </c>
      <c r="D41" s="7"/>
    </row>
    <row r="42">
      <c r="A42" s="16">
        <v>37.0</v>
      </c>
      <c r="B42" s="18" t="s">
        <v>348</v>
      </c>
      <c r="C42" s="24" t="s">
        <v>16</v>
      </c>
      <c r="D42" s="7"/>
    </row>
    <row r="43">
      <c r="A43" s="16">
        <v>38.0</v>
      </c>
      <c r="B43" s="18" t="s">
        <v>350</v>
      </c>
      <c r="C43" s="24" t="s">
        <v>16</v>
      </c>
      <c r="D43" s="7"/>
    </row>
    <row r="44">
      <c r="A44" s="16">
        <v>39.0</v>
      </c>
      <c r="B44" s="18" t="s">
        <v>354</v>
      </c>
      <c r="C44" s="24" t="s">
        <v>16</v>
      </c>
      <c r="D44" s="7"/>
    </row>
    <row r="45">
      <c r="A45" s="16">
        <v>40.0</v>
      </c>
      <c r="B45" s="18" t="s">
        <v>358</v>
      </c>
      <c r="C45" s="21" t="s">
        <v>16</v>
      </c>
      <c r="D45" s="7"/>
    </row>
    <row r="46">
      <c r="A46" s="16">
        <v>41.0</v>
      </c>
      <c r="B46" s="18" t="s">
        <v>361</v>
      </c>
      <c r="C46" s="21" t="s">
        <v>16</v>
      </c>
      <c r="D46" s="7"/>
    </row>
    <row r="47">
      <c r="A47" s="16">
        <v>42.0</v>
      </c>
      <c r="B47" s="18" t="s">
        <v>365</v>
      </c>
      <c r="C47" s="21" t="s">
        <v>16</v>
      </c>
      <c r="D47" s="7"/>
    </row>
    <row r="48">
      <c r="A48" s="16">
        <v>43.0</v>
      </c>
      <c r="B48" s="18" t="s">
        <v>370</v>
      </c>
      <c r="C48" s="21" t="s">
        <v>16</v>
      </c>
      <c r="D48" s="7"/>
    </row>
    <row r="49">
      <c r="A49" s="16">
        <v>44.0</v>
      </c>
      <c r="B49" s="18" t="s">
        <v>376</v>
      </c>
      <c r="C49" s="21" t="s">
        <v>16</v>
      </c>
      <c r="D49" s="7"/>
    </row>
    <row r="50">
      <c r="A50" s="16">
        <v>45.0</v>
      </c>
      <c r="B50" s="18" t="s">
        <v>381</v>
      </c>
      <c r="C50" s="36" t="s">
        <v>16</v>
      </c>
      <c r="D50" s="7"/>
    </row>
    <row r="51">
      <c r="A51" s="28" t="s">
        <v>167</v>
      </c>
      <c r="B51" s="2"/>
      <c r="C51" s="3"/>
      <c r="D51" s="7"/>
    </row>
    <row r="52">
      <c r="A52" s="29" t="s">
        <v>171</v>
      </c>
      <c r="B52" s="2"/>
      <c r="C52" s="3"/>
      <c r="D52" s="30"/>
    </row>
  </sheetData>
  <mergeCells count="7">
    <mergeCell ref="A1:C1"/>
    <mergeCell ref="D1:D52"/>
    <mergeCell ref="A2:C2"/>
    <mergeCell ref="A3:C3"/>
    <mergeCell ref="A4:C4"/>
    <mergeCell ref="A51:C51"/>
    <mergeCell ref="A52:C52"/>
  </mergeCells>
  <conditionalFormatting sqref="C1:C50 D1:D51">
    <cfRule type="containsText" dxfId="0" priority="1" operator="containsText" text="Enrolled">
      <formula>NOT(ISERROR(SEARCH(("Enrolled"),(C1))))</formula>
    </cfRule>
  </conditionalFormatting>
  <conditionalFormatting sqref="C1:C50 D1:D51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235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8" t="s">
        <v>246</v>
      </c>
      <c r="B3" s="9"/>
      <c r="C3" s="10"/>
      <c r="D3" s="7"/>
    </row>
    <row r="4">
      <c r="A4" s="11" t="s">
        <v>8</v>
      </c>
      <c r="B4" s="2"/>
      <c r="C4" s="3"/>
      <c r="D4" s="7"/>
    </row>
    <row r="5">
      <c r="A5" s="12" t="s">
        <v>11</v>
      </c>
      <c r="B5" s="12" t="s">
        <v>12</v>
      </c>
      <c r="C5" s="13" t="s">
        <v>13</v>
      </c>
      <c r="D5" s="7"/>
    </row>
    <row r="6">
      <c r="A6" s="16">
        <v>1.0</v>
      </c>
      <c r="B6" s="18" t="s">
        <v>267</v>
      </c>
      <c r="C6" s="24" t="s">
        <v>16</v>
      </c>
      <c r="D6" s="7"/>
    </row>
    <row r="7">
      <c r="A7" s="16">
        <v>2.0</v>
      </c>
      <c r="B7" s="18" t="s">
        <v>270</v>
      </c>
      <c r="C7" s="24" t="s">
        <v>16</v>
      </c>
      <c r="D7" s="7"/>
    </row>
    <row r="8">
      <c r="A8" s="16">
        <v>3.0</v>
      </c>
      <c r="B8" s="18" t="s">
        <v>274</v>
      </c>
      <c r="C8" s="24" t="s">
        <v>16</v>
      </c>
      <c r="D8" s="7"/>
    </row>
    <row r="9">
      <c r="A9" s="16">
        <v>4.0</v>
      </c>
      <c r="B9" s="18" t="s">
        <v>276</v>
      </c>
      <c r="C9" s="24" t="s">
        <v>20</v>
      </c>
      <c r="D9" s="7"/>
    </row>
    <row r="10">
      <c r="A10" s="16">
        <v>5.0</v>
      </c>
      <c r="B10" s="18" t="s">
        <v>279</v>
      </c>
      <c r="C10" s="24" t="s">
        <v>20</v>
      </c>
      <c r="D10" s="7"/>
    </row>
    <row r="11">
      <c r="A11" s="16">
        <v>6.0</v>
      </c>
      <c r="B11" s="18" t="s">
        <v>282</v>
      </c>
      <c r="C11" s="24" t="s">
        <v>16</v>
      </c>
      <c r="D11" s="7"/>
    </row>
    <row r="12">
      <c r="A12" s="16">
        <v>7.0</v>
      </c>
      <c r="B12" s="18" t="s">
        <v>285</v>
      </c>
      <c r="C12" s="24" t="s">
        <v>16</v>
      </c>
      <c r="D12" s="7"/>
    </row>
    <row r="13">
      <c r="A13" s="16">
        <v>8.0</v>
      </c>
      <c r="B13" s="18" t="s">
        <v>287</v>
      </c>
      <c r="C13" s="24" t="s">
        <v>16</v>
      </c>
      <c r="D13" s="7"/>
    </row>
    <row r="14">
      <c r="A14" s="16">
        <v>9.0</v>
      </c>
      <c r="B14" s="18" t="s">
        <v>289</v>
      </c>
      <c r="C14" s="24" t="s">
        <v>16</v>
      </c>
      <c r="D14" s="7"/>
    </row>
    <row r="15">
      <c r="A15" s="16">
        <v>10.0</v>
      </c>
      <c r="B15" s="18" t="s">
        <v>292</v>
      </c>
      <c r="C15" s="24" t="s">
        <v>16</v>
      </c>
      <c r="D15" s="7"/>
    </row>
    <row r="16">
      <c r="A16" s="16">
        <v>11.0</v>
      </c>
      <c r="B16" s="18" t="s">
        <v>295</v>
      </c>
      <c r="C16" s="24" t="s">
        <v>16</v>
      </c>
      <c r="D16" s="7"/>
    </row>
    <row r="17">
      <c r="A17" s="16">
        <v>12.0</v>
      </c>
      <c r="B17" s="18" t="s">
        <v>298</v>
      </c>
      <c r="C17" s="24" t="s">
        <v>16</v>
      </c>
      <c r="D17" s="7"/>
    </row>
    <row r="18">
      <c r="A18" s="16">
        <v>13.0</v>
      </c>
      <c r="B18" s="18" t="s">
        <v>302</v>
      </c>
      <c r="C18" s="24" t="s">
        <v>16</v>
      </c>
      <c r="D18" s="7"/>
    </row>
    <row r="19">
      <c r="A19" s="16">
        <v>14.0</v>
      </c>
      <c r="B19" s="18" t="s">
        <v>304</v>
      </c>
      <c r="C19" s="24" t="s">
        <v>16</v>
      </c>
      <c r="D19" s="7"/>
    </row>
    <row r="20">
      <c r="A20" s="16">
        <v>15.0</v>
      </c>
      <c r="B20" s="18" t="s">
        <v>307</v>
      </c>
      <c r="C20" s="24" t="s">
        <v>16</v>
      </c>
      <c r="D20" s="7"/>
    </row>
    <row r="21">
      <c r="A21" s="16">
        <v>16.0</v>
      </c>
      <c r="B21" s="18" t="s">
        <v>311</v>
      </c>
      <c r="C21" s="24" t="s">
        <v>16</v>
      </c>
      <c r="D21" s="7"/>
    </row>
    <row r="22">
      <c r="A22" s="16">
        <v>17.0</v>
      </c>
      <c r="B22" s="18" t="s">
        <v>314</v>
      </c>
      <c r="C22" s="24" t="s">
        <v>16</v>
      </c>
      <c r="D22" s="7"/>
    </row>
    <row r="23">
      <c r="A23" s="16">
        <v>18.0</v>
      </c>
      <c r="B23" s="18" t="s">
        <v>317</v>
      </c>
      <c r="C23" s="24" t="s">
        <v>16</v>
      </c>
      <c r="D23" s="7"/>
    </row>
    <row r="24">
      <c r="A24" s="16">
        <v>19.0</v>
      </c>
      <c r="B24" s="18" t="s">
        <v>320</v>
      </c>
      <c r="C24" s="24" t="s">
        <v>16</v>
      </c>
      <c r="D24" s="7"/>
    </row>
    <row r="25">
      <c r="A25" s="16">
        <v>20.0</v>
      </c>
      <c r="B25" s="18" t="s">
        <v>323</v>
      </c>
      <c r="C25" s="24" t="s">
        <v>16</v>
      </c>
      <c r="D25" s="7"/>
    </row>
    <row r="26">
      <c r="A26" s="16">
        <v>21.0</v>
      </c>
      <c r="B26" s="18" t="s">
        <v>326</v>
      </c>
      <c r="C26" s="24" t="s">
        <v>16</v>
      </c>
      <c r="D26" s="7"/>
    </row>
    <row r="27">
      <c r="A27" s="16">
        <v>22.0</v>
      </c>
      <c r="B27" s="18" t="s">
        <v>330</v>
      </c>
      <c r="C27" s="24" t="s">
        <v>16</v>
      </c>
      <c r="D27" s="7"/>
    </row>
    <row r="28">
      <c r="A28" s="16">
        <v>23.0</v>
      </c>
      <c r="B28" s="18" t="s">
        <v>332</v>
      </c>
      <c r="C28" s="25" t="s">
        <v>16</v>
      </c>
      <c r="D28" s="7"/>
    </row>
    <row r="29">
      <c r="A29" s="16">
        <v>24.0</v>
      </c>
      <c r="B29" s="18" t="s">
        <v>335</v>
      </c>
      <c r="C29" s="24" t="s">
        <v>16</v>
      </c>
      <c r="D29" s="7"/>
    </row>
    <row r="30">
      <c r="A30" s="16">
        <v>25.0</v>
      </c>
      <c r="B30" s="18" t="s">
        <v>337</v>
      </c>
      <c r="C30" s="24" t="s">
        <v>16</v>
      </c>
      <c r="D30" s="7"/>
    </row>
    <row r="31">
      <c r="A31" s="16">
        <v>26.0</v>
      </c>
      <c r="B31" s="18" t="s">
        <v>341</v>
      </c>
      <c r="C31" s="24" t="s">
        <v>16</v>
      </c>
      <c r="D31" s="7"/>
    </row>
    <row r="32">
      <c r="A32" s="16">
        <v>27.0</v>
      </c>
      <c r="B32" s="18" t="s">
        <v>343</v>
      </c>
      <c r="C32" s="24" t="s">
        <v>16</v>
      </c>
      <c r="D32" s="7"/>
    </row>
    <row r="33">
      <c r="A33" s="16">
        <v>28.0</v>
      </c>
      <c r="B33" s="18" t="s">
        <v>347</v>
      </c>
      <c r="C33" s="24" t="s">
        <v>16</v>
      </c>
      <c r="D33" s="7"/>
    </row>
    <row r="34">
      <c r="A34" s="16">
        <v>29.0</v>
      </c>
      <c r="B34" s="18" t="s">
        <v>349</v>
      </c>
      <c r="C34" s="24" t="s">
        <v>16</v>
      </c>
      <c r="D34" s="7"/>
    </row>
    <row r="35">
      <c r="A35" s="16">
        <v>30.0</v>
      </c>
      <c r="B35" s="18" t="s">
        <v>352</v>
      </c>
      <c r="C35" s="24" t="s">
        <v>16</v>
      </c>
      <c r="D35" s="7"/>
    </row>
    <row r="36">
      <c r="A36" s="16">
        <v>31.0</v>
      </c>
      <c r="B36" s="18" t="s">
        <v>356</v>
      </c>
      <c r="C36" s="24" t="s">
        <v>16</v>
      </c>
      <c r="D36" s="7"/>
    </row>
    <row r="37">
      <c r="A37" s="16">
        <v>32.0</v>
      </c>
      <c r="B37" s="18" t="s">
        <v>360</v>
      </c>
      <c r="C37" s="24" t="s">
        <v>16</v>
      </c>
      <c r="D37" s="7"/>
    </row>
    <row r="38">
      <c r="A38" s="16">
        <v>33.0</v>
      </c>
      <c r="B38" s="18" t="s">
        <v>363</v>
      </c>
      <c r="C38" s="24" t="s">
        <v>16</v>
      </c>
      <c r="D38" s="7"/>
    </row>
    <row r="39">
      <c r="A39" s="16">
        <v>34.0</v>
      </c>
      <c r="B39" s="18" t="s">
        <v>367</v>
      </c>
      <c r="C39" s="24" t="s">
        <v>16</v>
      </c>
      <c r="D39" s="7"/>
    </row>
    <row r="40">
      <c r="A40" s="16">
        <v>35.0</v>
      </c>
      <c r="B40" s="18" t="s">
        <v>371</v>
      </c>
      <c r="C40" s="24" t="s">
        <v>16</v>
      </c>
      <c r="D40" s="7"/>
    </row>
    <row r="41">
      <c r="A41" s="16">
        <v>36.0</v>
      </c>
      <c r="B41" s="18" t="s">
        <v>373</v>
      </c>
      <c r="C41" s="24" t="s">
        <v>16</v>
      </c>
      <c r="D41" s="7"/>
    </row>
    <row r="42">
      <c r="A42" s="16">
        <v>37.0</v>
      </c>
      <c r="B42" s="18" t="s">
        <v>377</v>
      </c>
      <c r="C42" s="24" t="s">
        <v>16</v>
      </c>
      <c r="D42" s="7"/>
    </row>
    <row r="43">
      <c r="A43" s="16">
        <v>38.0</v>
      </c>
      <c r="B43" s="18" t="s">
        <v>380</v>
      </c>
      <c r="C43" s="24" t="s">
        <v>16</v>
      </c>
      <c r="D43" s="7"/>
    </row>
    <row r="44">
      <c r="A44" s="16">
        <v>39.0</v>
      </c>
      <c r="B44" s="18" t="s">
        <v>384</v>
      </c>
      <c r="C44" s="24" t="s">
        <v>16</v>
      </c>
      <c r="D44" s="7"/>
    </row>
    <row r="45">
      <c r="A45" s="16">
        <v>40.0</v>
      </c>
      <c r="B45" s="18" t="s">
        <v>388</v>
      </c>
      <c r="C45" s="21" t="s">
        <v>16</v>
      </c>
      <c r="D45" s="7"/>
    </row>
    <row r="46">
      <c r="A46" s="16">
        <v>41.0</v>
      </c>
      <c r="B46" s="18" t="s">
        <v>390</v>
      </c>
      <c r="C46" s="21" t="s">
        <v>16</v>
      </c>
      <c r="D46" s="7"/>
    </row>
    <row r="47">
      <c r="A47" s="16">
        <v>42.0</v>
      </c>
      <c r="B47" s="18" t="s">
        <v>394</v>
      </c>
      <c r="C47" s="21" t="s">
        <v>16</v>
      </c>
      <c r="D47" s="7"/>
    </row>
    <row r="48">
      <c r="A48" s="16">
        <v>43.0</v>
      </c>
      <c r="B48" s="18" t="s">
        <v>397</v>
      </c>
      <c r="C48" s="21" t="s">
        <v>16</v>
      </c>
      <c r="D48" s="7"/>
    </row>
    <row r="49">
      <c r="A49" s="16">
        <v>44.0</v>
      </c>
      <c r="B49" s="18" t="s">
        <v>399</v>
      </c>
      <c r="C49" s="21" t="s">
        <v>16</v>
      </c>
      <c r="D49" s="7"/>
    </row>
    <row r="50">
      <c r="A50" s="16">
        <v>45.0</v>
      </c>
      <c r="B50" s="18" t="s">
        <v>403</v>
      </c>
      <c r="C50" s="21" t="s">
        <v>16</v>
      </c>
      <c r="D50" s="7"/>
    </row>
    <row r="51">
      <c r="A51" s="16">
        <v>46.0</v>
      </c>
      <c r="B51" s="18" t="s">
        <v>406</v>
      </c>
      <c r="C51" s="21" t="s">
        <v>16</v>
      </c>
      <c r="D51" s="7"/>
    </row>
    <row r="52">
      <c r="A52" s="16">
        <v>47.0</v>
      </c>
      <c r="B52" s="18" t="s">
        <v>409</v>
      </c>
      <c r="C52" s="21" t="s">
        <v>16</v>
      </c>
      <c r="D52" s="7"/>
    </row>
    <row r="53">
      <c r="A53" s="16">
        <v>48.0</v>
      </c>
      <c r="B53" s="18" t="s">
        <v>413</v>
      </c>
      <c r="C53" s="21" t="s">
        <v>16</v>
      </c>
      <c r="D53" s="7"/>
    </row>
    <row r="54">
      <c r="A54" s="28" t="s">
        <v>167</v>
      </c>
      <c r="B54" s="2"/>
      <c r="C54" s="3"/>
      <c r="D54" s="7"/>
    </row>
    <row r="55">
      <c r="A55" s="29" t="s">
        <v>171</v>
      </c>
      <c r="B55" s="2"/>
      <c r="C55" s="3"/>
      <c r="D55" s="30"/>
    </row>
  </sheetData>
  <mergeCells count="7">
    <mergeCell ref="A1:C1"/>
    <mergeCell ref="D1:D55"/>
    <mergeCell ref="A2:C2"/>
    <mergeCell ref="A3:C3"/>
    <mergeCell ref="A4:C4"/>
    <mergeCell ref="A54:C54"/>
    <mergeCell ref="A55:C55"/>
  </mergeCells>
  <conditionalFormatting sqref="C1:D53">
    <cfRule type="containsText" dxfId="0" priority="1" operator="containsText" text="Enrolled">
      <formula>NOT(ISERROR(SEARCH(("Enrolled"),(C1))))</formula>
    </cfRule>
  </conditionalFormatting>
  <conditionalFormatting sqref="C1:D53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253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266</v>
      </c>
      <c r="B3" s="9"/>
      <c r="C3" s="10"/>
      <c r="D3" s="7"/>
    </row>
    <row r="4">
      <c r="A4" s="11" t="s">
        <v>15</v>
      </c>
      <c r="B4" s="2"/>
      <c r="C4" s="3"/>
      <c r="D4" s="7"/>
    </row>
    <row r="5">
      <c r="A5" s="12" t="s">
        <v>11</v>
      </c>
      <c r="B5" s="12" t="s">
        <v>12</v>
      </c>
      <c r="C5" s="13" t="s">
        <v>13</v>
      </c>
      <c r="D5" s="7"/>
    </row>
    <row r="6">
      <c r="A6" s="16">
        <v>1.0</v>
      </c>
      <c r="B6" s="18" t="s">
        <v>294</v>
      </c>
      <c r="C6" s="24" t="s">
        <v>16</v>
      </c>
      <c r="D6" s="7"/>
    </row>
    <row r="7">
      <c r="A7" s="16">
        <v>2.0</v>
      </c>
      <c r="B7" s="18" t="s">
        <v>299</v>
      </c>
      <c r="C7" s="24" t="s">
        <v>16</v>
      </c>
      <c r="D7" s="7"/>
    </row>
    <row r="8">
      <c r="A8" s="16">
        <v>3.0</v>
      </c>
      <c r="B8" s="18" t="s">
        <v>303</v>
      </c>
      <c r="C8" s="24" t="s">
        <v>16</v>
      </c>
      <c r="D8" s="7"/>
    </row>
    <row r="9">
      <c r="A9" s="16">
        <v>4.0</v>
      </c>
      <c r="B9" s="18" t="s">
        <v>308</v>
      </c>
      <c r="C9" s="24" t="s">
        <v>16</v>
      </c>
      <c r="D9" s="7"/>
    </row>
    <row r="10">
      <c r="A10" s="16">
        <v>5.0</v>
      </c>
      <c r="B10" s="18" t="s">
        <v>312</v>
      </c>
      <c r="C10" s="24" t="s">
        <v>16</v>
      </c>
      <c r="D10" s="7"/>
    </row>
    <row r="11">
      <c r="A11" s="16">
        <v>6.0</v>
      </c>
      <c r="B11" s="18" t="s">
        <v>315</v>
      </c>
      <c r="C11" s="24" t="s">
        <v>16</v>
      </c>
      <c r="D11" s="7"/>
    </row>
    <row r="12">
      <c r="A12" s="16">
        <v>7.0</v>
      </c>
      <c r="B12" s="18" t="s">
        <v>318</v>
      </c>
      <c r="C12" s="24" t="s">
        <v>20</v>
      </c>
      <c r="D12" s="7"/>
    </row>
    <row r="13">
      <c r="A13" s="16">
        <v>8.0</v>
      </c>
      <c r="B13" s="18" t="s">
        <v>321</v>
      </c>
      <c r="C13" s="24" t="s">
        <v>16</v>
      </c>
      <c r="D13" s="7"/>
    </row>
    <row r="14">
      <c r="A14" s="16">
        <v>9.0</v>
      </c>
      <c r="B14" s="18" t="s">
        <v>322</v>
      </c>
      <c r="C14" s="24" t="s">
        <v>16</v>
      </c>
      <c r="D14" s="7"/>
    </row>
    <row r="15">
      <c r="A15" s="16">
        <v>10.0</v>
      </c>
      <c r="B15" s="18" t="s">
        <v>325</v>
      </c>
      <c r="C15" s="24" t="s">
        <v>16</v>
      </c>
      <c r="D15" s="7"/>
    </row>
    <row r="16">
      <c r="A16" s="16">
        <v>11.0</v>
      </c>
      <c r="B16" s="18" t="s">
        <v>331</v>
      </c>
      <c r="C16" s="24" t="s">
        <v>16</v>
      </c>
      <c r="D16" s="7"/>
    </row>
    <row r="17">
      <c r="A17" s="16">
        <v>12.0</v>
      </c>
      <c r="B17" s="18" t="s">
        <v>334</v>
      </c>
      <c r="C17" s="24" t="s">
        <v>16</v>
      </c>
      <c r="D17" s="7"/>
    </row>
    <row r="18">
      <c r="A18" s="16">
        <v>13.0</v>
      </c>
      <c r="B18" s="18" t="s">
        <v>338</v>
      </c>
      <c r="C18" s="24" t="s">
        <v>16</v>
      </c>
      <c r="D18" s="7"/>
    </row>
    <row r="19">
      <c r="A19" s="16">
        <v>14.0</v>
      </c>
      <c r="B19" s="18" t="s">
        <v>342</v>
      </c>
      <c r="C19" s="24" t="s">
        <v>16</v>
      </c>
      <c r="D19" s="7"/>
    </row>
    <row r="20">
      <c r="A20" s="16">
        <v>15.0</v>
      </c>
      <c r="B20" s="18" t="s">
        <v>344</v>
      </c>
      <c r="C20" s="24" t="s">
        <v>16</v>
      </c>
      <c r="D20" s="7"/>
    </row>
    <row r="21">
      <c r="A21" s="16">
        <v>16.0</v>
      </c>
      <c r="B21" s="18" t="s">
        <v>346</v>
      </c>
      <c r="C21" s="24" t="s">
        <v>16</v>
      </c>
      <c r="D21" s="7"/>
    </row>
    <row r="22">
      <c r="A22" s="16">
        <v>17.0</v>
      </c>
      <c r="B22" s="18" t="s">
        <v>351</v>
      </c>
      <c r="C22" s="24" t="s">
        <v>16</v>
      </c>
      <c r="D22" s="7"/>
    </row>
    <row r="23">
      <c r="A23" s="16">
        <v>18.0</v>
      </c>
      <c r="B23" s="18" t="s">
        <v>357</v>
      </c>
      <c r="C23" s="24" t="s">
        <v>16</v>
      </c>
      <c r="D23" s="7"/>
    </row>
    <row r="24">
      <c r="A24" s="16">
        <v>19.0</v>
      </c>
      <c r="B24" s="18" t="s">
        <v>364</v>
      </c>
      <c r="C24" s="24" t="s">
        <v>16</v>
      </c>
      <c r="D24" s="7"/>
    </row>
    <row r="25">
      <c r="A25" s="16">
        <v>20.0</v>
      </c>
      <c r="B25" s="18" t="s">
        <v>368</v>
      </c>
      <c r="C25" s="24" t="s">
        <v>16</v>
      </c>
      <c r="D25" s="7"/>
    </row>
    <row r="26">
      <c r="A26" s="16">
        <v>21.0</v>
      </c>
      <c r="B26" s="18" t="s">
        <v>374</v>
      </c>
      <c r="C26" s="24" t="s">
        <v>16</v>
      </c>
      <c r="D26" s="7"/>
    </row>
    <row r="27">
      <c r="A27" s="16">
        <v>22.0</v>
      </c>
      <c r="B27" s="18" t="s">
        <v>382</v>
      </c>
      <c r="C27" s="24" t="s">
        <v>16</v>
      </c>
      <c r="D27" s="7"/>
    </row>
    <row r="28">
      <c r="A28" s="16">
        <v>23.0</v>
      </c>
      <c r="B28" s="18" t="s">
        <v>386</v>
      </c>
      <c r="C28" s="25" t="s">
        <v>16</v>
      </c>
      <c r="D28" s="7"/>
    </row>
    <row r="29">
      <c r="A29" s="16">
        <v>24.0</v>
      </c>
      <c r="B29" s="18" t="s">
        <v>391</v>
      </c>
      <c r="C29" s="24" t="s">
        <v>16</v>
      </c>
      <c r="D29" s="7"/>
    </row>
    <row r="30">
      <c r="A30" s="16">
        <v>25.0</v>
      </c>
      <c r="B30" s="18" t="s">
        <v>395</v>
      </c>
      <c r="C30" s="24" t="s">
        <v>16</v>
      </c>
      <c r="D30" s="7"/>
    </row>
    <row r="31">
      <c r="A31" s="16">
        <v>26.0</v>
      </c>
      <c r="B31" s="18" t="s">
        <v>401</v>
      </c>
      <c r="C31" s="24" t="s">
        <v>16</v>
      </c>
      <c r="D31" s="7"/>
    </row>
    <row r="32">
      <c r="A32" s="16">
        <v>27.0</v>
      </c>
      <c r="B32" s="18" t="s">
        <v>405</v>
      </c>
      <c r="C32" s="24" t="s">
        <v>16</v>
      </c>
      <c r="D32" s="7"/>
    </row>
    <row r="33">
      <c r="A33" s="16">
        <v>28.0</v>
      </c>
      <c r="B33" s="18" t="s">
        <v>410</v>
      </c>
      <c r="C33" s="24" t="s">
        <v>16</v>
      </c>
      <c r="D33" s="7"/>
    </row>
    <row r="34">
      <c r="A34" s="16">
        <v>29.0</v>
      </c>
      <c r="B34" s="18" t="s">
        <v>415</v>
      </c>
      <c r="C34" s="24" t="s">
        <v>16</v>
      </c>
      <c r="D34" s="7"/>
    </row>
    <row r="35">
      <c r="A35" s="16">
        <v>30.0</v>
      </c>
      <c r="B35" s="18" t="s">
        <v>418</v>
      </c>
      <c r="C35" s="24" t="s">
        <v>16</v>
      </c>
      <c r="D35" s="7"/>
    </row>
    <row r="36">
      <c r="A36" s="16">
        <v>31.0</v>
      </c>
      <c r="B36" s="18" t="s">
        <v>422</v>
      </c>
      <c r="C36" s="24" t="s">
        <v>16</v>
      </c>
      <c r="D36" s="7"/>
    </row>
    <row r="37">
      <c r="A37" s="16">
        <v>32.0</v>
      </c>
      <c r="B37" s="18" t="s">
        <v>424</v>
      </c>
      <c r="C37" s="24" t="s">
        <v>16</v>
      </c>
      <c r="D37" s="7"/>
    </row>
    <row r="38">
      <c r="A38" s="16">
        <v>33.0</v>
      </c>
      <c r="B38" s="18" t="s">
        <v>427</v>
      </c>
      <c r="C38" s="24" t="s">
        <v>16</v>
      </c>
      <c r="D38" s="7"/>
    </row>
    <row r="39">
      <c r="A39" s="16">
        <v>34.0</v>
      </c>
      <c r="B39" s="18" t="s">
        <v>429</v>
      </c>
      <c r="C39" s="24" t="s">
        <v>16</v>
      </c>
      <c r="D39" s="7"/>
    </row>
    <row r="40">
      <c r="A40" s="16">
        <v>35.0</v>
      </c>
      <c r="B40" s="18" t="s">
        <v>430</v>
      </c>
      <c r="C40" s="24" t="s">
        <v>16</v>
      </c>
      <c r="D40" s="7"/>
    </row>
    <row r="41">
      <c r="A41" s="16">
        <v>36.0</v>
      </c>
      <c r="B41" s="18" t="s">
        <v>433</v>
      </c>
      <c r="C41" s="24" t="s">
        <v>16</v>
      </c>
      <c r="D41" s="7"/>
    </row>
    <row r="42">
      <c r="A42" s="16">
        <v>37.0</v>
      </c>
      <c r="B42" s="18" t="s">
        <v>435</v>
      </c>
      <c r="C42" s="24" t="s">
        <v>16</v>
      </c>
      <c r="D42" s="7"/>
    </row>
    <row r="43">
      <c r="A43" s="16">
        <v>38.0</v>
      </c>
      <c r="B43" s="18" t="s">
        <v>438</v>
      </c>
      <c r="C43" s="24" t="s">
        <v>16</v>
      </c>
      <c r="D43" s="7"/>
    </row>
    <row r="44">
      <c r="A44" s="16">
        <v>39.0</v>
      </c>
      <c r="B44" s="18" t="s">
        <v>442</v>
      </c>
      <c r="C44" s="24" t="s">
        <v>16</v>
      </c>
      <c r="D44" s="7"/>
    </row>
    <row r="45">
      <c r="A45" s="16">
        <v>40.0</v>
      </c>
      <c r="B45" s="18" t="s">
        <v>446</v>
      </c>
      <c r="C45" s="21" t="s">
        <v>16</v>
      </c>
      <c r="D45" s="7"/>
    </row>
    <row r="46">
      <c r="A46" s="16">
        <v>41.0</v>
      </c>
      <c r="B46" s="18" t="s">
        <v>448</v>
      </c>
      <c r="C46" s="21" t="s">
        <v>16</v>
      </c>
      <c r="D46" s="7"/>
    </row>
    <row r="47">
      <c r="A47" s="16">
        <v>42.0</v>
      </c>
      <c r="B47" s="18" t="s">
        <v>453</v>
      </c>
      <c r="C47" s="21" t="s">
        <v>16</v>
      </c>
      <c r="D47" s="7"/>
    </row>
    <row r="48">
      <c r="A48" s="16">
        <v>43.0</v>
      </c>
      <c r="B48" s="18" t="s">
        <v>456</v>
      </c>
      <c r="C48" s="21" t="s">
        <v>16</v>
      </c>
      <c r="D48" s="7"/>
    </row>
    <row r="49">
      <c r="A49" s="16">
        <v>44.0</v>
      </c>
      <c r="B49" s="18" t="s">
        <v>461</v>
      </c>
      <c r="C49" s="21" t="s">
        <v>16</v>
      </c>
      <c r="D49" s="7"/>
    </row>
    <row r="50">
      <c r="A50" s="16">
        <v>45.0</v>
      </c>
      <c r="B50" s="18" t="s">
        <v>466</v>
      </c>
      <c r="C50" s="21" t="s">
        <v>16</v>
      </c>
      <c r="D50" s="7"/>
    </row>
    <row r="51">
      <c r="A51" s="28" t="s">
        <v>167</v>
      </c>
      <c r="B51" s="2"/>
      <c r="C51" s="3"/>
      <c r="D51" s="7"/>
    </row>
    <row r="52">
      <c r="A52" s="29" t="s">
        <v>171</v>
      </c>
      <c r="B52" s="2"/>
      <c r="C52" s="3"/>
      <c r="D52" s="30"/>
    </row>
  </sheetData>
  <mergeCells count="7">
    <mergeCell ref="A1:C1"/>
    <mergeCell ref="D1:D52"/>
    <mergeCell ref="A2:C2"/>
    <mergeCell ref="A3:C3"/>
    <mergeCell ref="A4:C4"/>
    <mergeCell ref="A51:C51"/>
    <mergeCell ref="A52:C52"/>
  </mergeCells>
  <conditionalFormatting sqref="C1:D50">
    <cfRule type="containsText" dxfId="0" priority="1" operator="containsText" text="Enrolled">
      <formula>NOT(ISERROR(SEARCH(("Enrolled"),(C1))))</formula>
    </cfRule>
  </conditionalFormatting>
  <conditionalFormatting sqref="C1:D50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328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339</v>
      </c>
      <c r="B3" s="9"/>
      <c r="C3" s="10"/>
      <c r="D3" s="7"/>
    </row>
    <row r="4">
      <c r="A4" s="11" t="s">
        <v>18</v>
      </c>
      <c r="B4" s="2"/>
      <c r="C4" s="3"/>
      <c r="D4" s="7"/>
    </row>
    <row r="5">
      <c r="A5" s="12" t="s">
        <v>11</v>
      </c>
      <c r="B5" s="12" t="s">
        <v>12</v>
      </c>
      <c r="C5" s="13" t="s">
        <v>13</v>
      </c>
      <c r="D5" s="7"/>
    </row>
    <row r="6">
      <c r="A6" s="16">
        <v>1.0</v>
      </c>
      <c r="B6" s="18" t="s">
        <v>353</v>
      </c>
      <c r="C6" s="24" t="s">
        <v>16</v>
      </c>
      <c r="D6" s="7"/>
    </row>
    <row r="7">
      <c r="A7" s="16">
        <v>2.0</v>
      </c>
      <c r="B7" s="18" t="s">
        <v>355</v>
      </c>
      <c r="C7" s="24" t="s">
        <v>16</v>
      </c>
      <c r="D7" s="7"/>
    </row>
    <row r="8">
      <c r="A8" s="16">
        <v>3.0</v>
      </c>
      <c r="B8" s="18" t="s">
        <v>359</v>
      </c>
      <c r="C8" s="24" t="s">
        <v>16</v>
      </c>
      <c r="D8" s="7"/>
    </row>
    <row r="9">
      <c r="A9" s="16">
        <v>4.0</v>
      </c>
      <c r="B9" s="18" t="s">
        <v>362</v>
      </c>
      <c r="C9" s="24" t="s">
        <v>16</v>
      </c>
      <c r="D9" s="7"/>
    </row>
    <row r="10">
      <c r="A10" s="16">
        <v>5.0</v>
      </c>
      <c r="B10" s="18" t="s">
        <v>366</v>
      </c>
      <c r="C10" s="24" t="s">
        <v>16</v>
      </c>
      <c r="D10" s="7"/>
    </row>
    <row r="11">
      <c r="A11" s="16">
        <v>6.0</v>
      </c>
      <c r="B11" s="18" t="s">
        <v>369</v>
      </c>
      <c r="C11" s="24" t="s">
        <v>20</v>
      </c>
      <c r="D11" s="7"/>
    </row>
    <row r="12">
      <c r="A12" s="16">
        <v>7.0</v>
      </c>
      <c r="B12" s="18" t="s">
        <v>372</v>
      </c>
      <c r="C12" s="24" t="s">
        <v>16</v>
      </c>
      <c r="D12" s="7"/>
    </row>
    <row r="13">
      <c r="A13" s="16">
        <v>8.0</v>
      </c>
      <c r="B13" s="18" t="s">
        <v>375</v>
      </c>
      <c r="C13" s="24" t="s">
        <v>16</v>
      </c>
      <c r="D13" s="7"/>
    </row>
    <row r="14">
      <c r="A14" s="16">
        <v>9.0</v>
      </c>
      <c r="B14" s="18" t="s">
        <v>378</v>
      </c>
      <c r="C14" s="24" t="s">
        <v>16</v>
      </c>
      <c r="D14" s="7"/>
    </row>
    <row r="15">
      <c r="A15" s="16">
        <v>10.0</v>
      </c>
      <c r="B15" s="18" t="s">
        <v>379</v>
      </c>
      <c r="C15" s="24" t="s">
        <v>16</v>
      </c>
      <c r="D15" s="7"/>
    </row>
    <row r="16">
      <c r="A16" s="16">
        <v>11.0</v>
      </c>
      <c r="B16" s="18" t="s">
        <v>383</v>
      </c>
      <c r="C16" s="24" t="s">
        <v>16</v>
      </c>
      <c r="D16" s="7"/>
    </row>
    <row r="17">
      <c r="A17" s="16">
        <v>12.0</v>
      </c>
      <c r="B17" s="18" t="s">
        <v>385</v>
      </c>
      <c r="C17" s="24" t="s">
        <v>16</v>
      </c>
      <c r="D17" s="7"/>
    </row>
    <row r="18">
      <c r="A18" s="16">
        <v>13.0</v>
      </c>
      <c r="B18" s="18" t="s">
        <v>387</v>
      </c>
      <c r="C18" s="24" t="s">
        <v>16</v>
      </c>
      <c r="D18" s="7"/>
    </row>
    <row r="19">
      <c r="A19" s="16">
        <v>14.0</v>
      </c>
      <c r="B19" s="18" t="s">
        <v>389</v>
      </c>
      <c r="C19" s="24" t="s">
        <v>16</v>
      </c>
      <c r="D19" s="7"/>
    </row>
    <row r="20">
      <c r="A20" s="16">
        <v>15.0</v>
      </c>
      <c r="B20" s="18" t="s">
        <v>392</v>
      </c>
      <c r="C20" s="24" t="s">
        <v>16</v>
      </c>
      <c r="D20" s="7"/>
    </row>
    <row r="21">
      <c r="A21" s="16">
        <v>16.0</v>
      </c>
      <c r="B21" s="18" t="s">
        <v>393</v>
      </c>
      <c r="C21" s="24" t="s">
        <v>16</v>
      </c>
      <c r="D21" s="7"/>
    </row>
    <row r="22">
      <c r="A22" s="16">
        <v>17.0</v>
      </c>
      <c r="B22" s="18" t="s">
        <v>396</v>
      </c>
      <c r="C22" s="24" t="s">
        <v>16</v>
      </c>
      <c r="D22" s="7"/>
    </row>
    <row r="23">
      <c r="A23" s="16">
        <v>18.0</v>
      </c>
      <c r="B23" s="18" t="s">
        <v>398</v>
      </c>
      <c r="C23" s="24" t="s">
        <v>16</v>
      </c>
      <c r="D23" s="7"/>
    </row>
    <row r="24">
      <c r="A24" s="16">
        <v>19.0</v>
      </c>
      <c r="B24" s="18" t="s">
        <v>400</v>
      </c>
      <c r="C24" s="24" t="s">
        <v>16</v>
      </c>
      <c r="D24" s="7"/>
    </row>
    <row r="25">
      <c r="A25" s="16">
        <v>20.0</v>
      </c>
      <c r="B25" s="18" t="s">
        <v>402</v>
      </c>
      <c r="C25" s="24" t="s">
        <v>16</v>
      </c>
      <c r="D25" s="7"/>
    </row>
    <row r="26">
      <c r="A26" s="16">
        <v>21.0</v>
      </c>
      <c r="B26" s="18" t="s">
        <v>404</v>
      </c>
      <c r="C26" s="24" t="s">
        <v>16</v>
      </c>
      <c r="D26" s="7"/>
    </row>
    <row r="27">
      <c r="A27" s="16">
        <v>22.0</v>
      </c>
      <c r="B27" s="18" t="s">
        <v>407</v>
      </c>
      <c r="C27" s="24" t="s">
        <v>16</v>
      </c>
      <c r="D27" s="7"/>
    </row>
    <row r="28">
      <c r="A28" s="16">
        <v>23.0</v>
      </c>
      <c r="B28" s="18" t="s">
        <v>408</v>
      </c>
      <c r="C28" s="25" t="s">
        <v>16</v>
      </c>
      <c r="D28" s="7"/>
    </row>
    <row r="29">
      <c r="A29" s="16">
        <v>24.0</v>
      </c>
      <c r="B29" s="18" t="s">
        <v>411</v>
      </c>
      <c r="C29" s="24" t="s">
        <v>16</v>
      </c>
      <c r="D29" s="7"/>
    </row>
    <row r="30">
      <c r="A30" s="16">
        <v>25.0</v>
      </c>
      <c r="B30" s="18" t="s">
        <v>414</v>
      </c>
      <c r="C30" s="24" t="s">
        <v>16</v>
      </c>
      <c r="D30" s="7"/>
    </row>
    <row r="31">
      <c r="A31" s="16">
        <v>26.0</v>
      </c>
      <c r="B31" s="18" t="s">
        <v>416</v>
      </c>
      <c r="C31" s="24" t="s">
        <v>16</v>
      </c>
      <c r="D31" s="7"/>
    </row>
    <row r="32">
      <c r="A32" s="16">
        <v>27.0</v>
      </c>
      <c r="B32" s="18" t="s">
        <v>417</v>
      </c>
      <c r="C32" s="24" t="s">
        <v>16</v>
      </c>
      <c r="D32" s="7"/>
    </row>
    <row r="33">
      <c r="A33" s="16">
        <v>28.0</v>
      </c>
      <c r="B33" s="18" t="s">
        <v>419</v>
      </c>
      <c r="C33" s="24" t="s">
        <v>16</v>
      </c>
      <c r="D33" s="7"/>
    </row>
    <row r="34">
      <c r="A34" s="16">
        <v>29.0</v>
      </c>
      <c r="B34" s="18" t="s">
        <v>420</v>
      </c>
      <c r="C34" s="24" t="s">
        <v>16</v>
      </c>
      <c r="D34" s="7"/>
    </row>
    <row r="35">
      <c r="A35" s="16">
        <v>30.0</v>
      </c>
      <c r="B35" s="18" t="s">
        <v>423</v>
      </c>
      <c r="C35" s="24" t="s">
        <v>16</v>
      </c>
      <c r="D35" s="7"/>
    </row>
    <row r="36">
      <c r="A36" s="16">
        <v>31.0</v>
      </c>
      <c r="B36" s="18" t="s">
        <v>425</v>
      </c>
      <c r="C36" s="24" t="s">
        <v>16</v>
      </c>
      <c r="D36" s="7"/>
    </row>
    <row r="37">
      <c r="A37" s="16">
        <v>32.0</v>
      </c>
      <c r="B37" s="18" t="s">
        <v>426</v>
      </c>
      <c r="C37" s="24" t="s">
        <v>16</v>
      </c>
      <c r="D37" s="7"/>
    </row>
    <row r="38">
      <c r="A38" s="16">
        <v>33.0</v>
      </c>
      <c r="B38" s="18" t="s">
        <v>432</v>
      </c>
      <c r="C38" s="24" t="s">
        <v>16</v>
      </c>
      <c r="D38" s="7"/>
    </row>
    <row r="39">
      <c r="A39" s="16">
        <v>34.0</v>
      </c>
      <c r="B39" s="18" t="s">
        <v>434</v>
      </c>
      <c r="C39" s="24" t="s">
        <v>16</v>
      </c>
      <c r="D39" s="7"/>
    </row>
    <row r="40">
      <c r="A40" s="16">
        <v>35.0</v>
      </c>
      <c r="B40" s="18" t="s">
        <v>436</v>
      </c>
      <c r="C40" s="24" t="s">
        <v>16</v>
      </c>
      <c r="D40" s="7"/>
    </row>
    <row r="41">
      <c r="A41" s="16">
        <v>36.0</v>
      </c>
      <c r="B41" s="18" t="s">
        <v>440</v>
      </c>
      <c r="C41" s="24" t="s">
        <v>16</v>
      </c>
      <c r="D41" s="7"/>
    </row>
    <row r="42">
      <c r="A42" s="16">
        <v>37.0</v>
      </c>
      <c r="B42" s="18" t="s">
        <v>443</v>
      </c>
      <c r="C42" s="24" t="s">
        <v>16</v>
      </c>
      <c r="D42" s="7"/>
    </row>
    <row r="43">
      <c r="A43" s="16">
        <v>38.0</v>
      </c>
      <c r="B43" s="18" t="s">
        <v>444</v>
      </c>
      <c r="C43" s="24" t="s">
        <v>16</v>
      </c>
      <c r="D43" s="7"/>
    </row>
    <row r="44">
      <c r="A44" s="16">
        <v>39.0</v>
      </c>
      <c r="B44" s="18" t="s">
        <v>447</v>
      </c>
      <c r="C44" s="24" t="s">
        <v>16</v>
      </c>
      <c r="D44" s="7"/>
    </row>
    <row r="45">
      <c r="A45" s="16">
        <v>40.0</v>
      </c>
      <c r="B45" s="18" t="s">
        <v>450</v>
      </c>
      <c r="C45" s="21" t="s">
        <v>16</v>
      </c>
      <c r="D45" s="7"/>
    </row>
    <row r="46">
      <c r="A46" s="16">
        <v>41.0</v>
      </c>
      <c r="B46" s="18" t="s">
        <v>451</v>
      </c>
      <c r="C46" s="21" t="s">
        <v>16</v>
      </c>
      <c r="D46" s="7"/>
    </row>
    <row r="47">
      <c r="A47" s="16">
        <v>42.0</v>
      </c>
      <c r="B47" s="18" t="s">
        <v>454</v>
      </c>
      <c r="C47" s="21" t="s">
        <v>16</v>
      </c>
      <c r="D47" s="7"/>
    </row>
    <row r="48">
      <c r="A48" s="16">
        <v>43.0</v>
      </c>
      <c r="B48" s="18" t="s">
        <v>455</v>
      </c>
      <c r="C48" s="21" t="s">
        <v>16</v>
      </c>
      <c r="D48" s="7"/>
    </row>
    <row r="49">
      <c r="A49" s="16">
        <v>44.0</v>
      </c>
      <c r="B49" s="18" t="s">
        <v>458</v>
      </c>
      <c r="C49" s="21" t="s">
        <v>16</v>
      </c>
      <c r="D49" s="7"/>
    </row>
    <row r="50">
      <c r="A50" s="16">
        <v>45.0</v>
      </c>
      <c r="B50" s="18" t="s">
        <v>460</v>
      </c>
      <c r="C50" s="21" t="s">
        <v>16</v>
      </c>
      <c r="D50" s="7"/>
    </row>
    <row r="51">
      <c r="A51" s="16">
        <v>46.0</v>
      </c>
      <c r="B51" s="18" t="s">
        <v>463</v>
      </c>
      <c r="C51" s="21" t="s">
        <v>16</v>
      </c>
      <c r="D51" s="7"/>
    </row>
    <row r="52">
      <c r="A52" s="16">
        <v>47.0</v>
      </c>
      <c r="B52" s="18" t="s">
        <v>465</v>
      </c>
      <c r="C52" s="21" t="s">
        <v>16</v>
      </c>
      <c r="D52" s="7"/>
    </row>
    <row r="53">
      <c r="A53" s="16">
        <v>48.0</v>
      </c>
      <c r="B53" s="18" t="s">
        <v>468</v>
      </c>
      <c r="C53" s="21" t="s">
        <v>16</v>
      </c>
      <c r="D53" s="7"/>
    </row>
    <row r="54">
      <c r="A54" s="16">
        <v>49.0</v>
      </c>
      <c r="B54" s="18" t="s">
        <v>471</v>
      </c>
      <c r="C54" s="21" t="s">
        <v>16</v>
      </c>
      <c r="D54" s="7"/>
    </row>
    <row r="55">
      <c r="A55" s="16">
        <v>50.0</v>
      </c>
      <c r="B55" s="18" t="s">
        <v>472</v>
      </c>
      <c r="C55" s="21" t="s">
        <v>16</v>
      </c>
      <c r="D55" s="7"/>
    </row>
    <row r="56">
      <c r="A56" s="16">
        <v>51.0</v>
      </c>
      <c r="B56" s="18" t="s">
        <v>475</v>
      </c>
      <c r="C56" s="21" t="s">
        <v>16</v>
      </c>
      <c r="D56" s="7"/>
    </row>
    <row r="57">
      <c r="A57" s="28" t="s">
        <v>167</v>
      </c>
      <c r="B57" s="2"/>
      <c r="C57" s="3"/>
      <c r="D57" s="7"/>
    </row>
    <row r="58">
      <c r="A58" s="29" t="s">
        <v>171</v>
      </c>
      <c r="B58" s="2"/>
      <c r="C58" s="3"/>
      <c r="D58" s="30"/>
    </row>
  </sheetData>
  <mergeCells count="7">
    <mergeCell ref="A1:C1"/>
    <mergeCell ref="D1:D58"/>
    <mergeCell ref="A2:C2"/>
    <mergeCell ref="A3:C3"/>
    <mergeCell ref="A4:C4"/>
    <mergeCell ref="A57:C57"/>
    <mergeCell ref="A58:C58"/>
  </mergeCells>
  <conditionalFormatting sqref="C1:D56">
    <cfRule type="containsText" dxfId="0" priority="1" operator="containsText" text="Enrolled">
      <formula>NOT(ISERROR(SEARCH(("Enrolled"),(C1))))</formula>
    </cfRule>
  </conditionalFormatting>
  <conditionalFormatting sqref="C1:D56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</cols>
  <sheetData>
    <row r="1">
      <c r="A1" s="4" t="s">
        <v>412</v>
      </c>
      <c r="B1" s="2"/>
      <c r="C1" s="3"/>
    </row>
    <row r="2">
      <c r="A2" s="6" t="s">
        <v>5</v>
      </c>
      <c r="B2" s="2"/>
      <c r="C2" s="3"/>
    </row>
    <row r="3">
      <c r="A3" s="8" t="s">
        <v>421</v>
      </c>
      <c r="B3" s="9"/>
      <c r="C3" s="10"/>
    </row>
    <row r="4">
      <c r="A4" s="11" t="s">
        <v>428</v>
      </c>
      <c r="B4" s="2"/>
      <c r="C4" s="3"/>
    </row>
    <row r="5">
      <c r="A5" s="12" t="s">
        <v>11</v>
      </c>
      <c r="B5" s="12" t="s">
        <v>12</v>
      </c>
      <c r="C5" s="31" t="s">
        <v>13</v>
      </c>
    </row>
    <row r="6">
      <c r="A6" s="16">
        <v>1.0</v>
      </c>
      <c r="B6" s="18" t="s">
        <v>437</v>
      </c>
      <c r="C6" s="24" t="s">
        <v>16</v>
      </c>
    </row>
    <row r="7">
      <c r="A7" s="16">
        <v>2.0</v>
      </c>
      <c r="B7" s="18" t="s">
        <v>441</v>
      </c>
      <c r="C7" s="24" t="s">
        <v>16</v>
      </c>
    </row>
    <row r="8">
      <c r="A8" s="16">
        <v>3.0</v>
      </c>
      <c r="B8" s="18" t="s">
        <v>445</v>
      </c>
      <c r="C8" s="24" t="s">
        <v>16</v>
      </c>
    </row>
    <row r="9">
      <c r="A9" s="16">
        <v>4.0</v>
      </c>
      <c r="B9" s="18" t="s">
        <v>449</v>
      </c>
      <c r="C9" s="24" t="s">
        <v>16</v>
      </c>
    </row>
    <row r="10">
      <c r="A10" s="16">
        <v>5.0</v>
      </c>
      <c r="B10" s="18" t="s">
        <v>452</v>
      </c>
      <c r="C10" s="24" t="s">
        <v>16</v>
      </c>
    </row>
    <row r="11">
      <c r="A11" s="16">
        <v>6.0</v>
      </c>
      <c r="B11" s="18" t="s">
        <v>457</v>
      </c>
      <c r="C11" s="24" t="s">
        <v>16</v>
      </c>
    </row>
    <row r="12">
      <c r="A12" s="16">
        <v>7.0</v>
      </c>
      <c r="B12" s="18" t="s">
        <v>464</v>
      </c>
      <c r="C12" s="24" t="s">
        <v>16</v>
      </c>
    </row>
    <row r="13">
      <c r="A13" s="16">
        <v>8.0</v>
      </c>
      <c r="B13" s="18" t="s">
        <v>469</v>
      </c>
      <c r="C13" s="24" t="s">
        <v>16</v>
      </c>
    </row>
    <row r="14">
      <c r="A14" s="16">
        <v>9.0</v>
      </c>
      <c r="B14" s="18" t="s">
        <v>474</v>
      </c>
      <c r="C14" s="24" t="s">
        <v>16</v>
      </c>
    </row>
    <row r="15">
      <c r="A15" s="16">
        <v>10.0</v>
      </c>
      <c r="B15" s="18" t="s">
        <v>477</v>
      </c>
      <c r="C15" s="24" t="s">
        <v>20</v>
      </c>
    </row>
    <row r="16">
      <c r="A16" s="16">
        <v>11.0</v>
      </c>
      <c r="B16" s="18" t="s">
        <v>479</v>
      </c>
      <c r="C16" s="24" t="s">
        <v>16</v>
      </c>
    </row>
    <row r="17">
      <c r="A17" s="16">
        <v>12.0</v>
      </c>
      <c r="B17" s="18" t="s">
        <v>481</v>
      </c>
      <c r="C17" s="24" t="s">
        <v>20</v>
      </c>
    </row>
    <row r="18">
      <c r="A18" s="16">
        <v>13.0</v>
      </c>
      <c r="B18" s="18" t="s">
        <v>483</v>
      </c>
      <c r="C18" s="24" t="s">
        <v>16</v>
      </c>
    </row>
    <row r="19">
      <c r="A19" s="16">
        <v>14.0</v>
      </c>
      <c r="B19" s="18" t="s">
        <v>485</v>
      </c>
      <c r="C19" s="24" t="s">
        <v>16</v>
      </c>
    </row>
    <row r="20">
      <c r="A20" s="16">
        <v>15.0</v>
      </c>
      <c r="B20" s="18" t="s">
        <v>487</v>
      </c>
      <c r="C20" s="24" t="s">
        <v>16</v>
      </c>
    </row>
    <row r="21">
      <c r="A21" s="16">
        <v>16.0</v>
      </c>
      <c r="B21" s="18" t="s">
        <v>492</v>
      </c>
      <c r="C21" s="24" t="s">
        <v>16</v>
      </c>
    </row>
    <row r="22">
      <c r="A22" s="16">
        <v>17.0</v>
      </c>
      <c r="B22" s="18" t="s">
        <v>495</v>
      </c>
      <c r="C22" s="24" t="s">
        <v>16</v>
      </c>
    </row>
    <row r="23">
      <c r="A23" s="16">
        <v>18.0</v>
      </c>
      <c r="B23" s="18" t="s">
        <v>497</v>
      </c>
      <c r="C23" s="24" t="s">
        <v>16</v>
      </c>
    </row>
    <row r="24">
      <c r="A24" s="16">
        <v>19.0</v>
      </c>
      <c r="B24" s="18" t="s">
        <v>500</v>
      </c>
      <c r="C24" s="24" t="s">
        <v>16</v>
      </c>
    </row>
    <row r="25">
      <c r="A25" s="16">
        <v>20.0</v>
      </c>
      <c r="B25" s="18" t="s">
        <v>502</v>
      </c>
      <c r="C25" s="24" t="s">
        <v>16</v>
      </c>
    </row>
    <row r="26">
      <c r="A26" s="16">
        <v>21.0</v>
      </c>
      <c r="B26" s="18" t="s">
        <v>505</v>
      </c>
      <c r="C26" s="24" t="s">
        <v>16</v>
      </c>
    </row>
    <row r="27">
      <c r="A27" s="16">
        <v>22.0</v>
      </c>
      <c r="B27" s="18" t="s">
        <v>508</v>
      </c>
      <c r="C27" s="24" t="s">
        <v>16</v>
      </c>
    </row>
    <row r="28">
      <c r="A28" s="16">
        <v>23.0</v>
      </c>
      <c r="B28" s="18" t="s">
        <v>512</v>
      </c>
      <c r="C28" s="25" t="s">
        <v>16</v>
      </c>
    </row>
    <row r="29">
      <c r="A29" s="16">
        <v>24.0</v>
      </c>
      <c r="B29" s="18" t="s">
        <v>516</v>
      </c>
      <c r="C29" s="24" t="s">
        <v>16</v>
      </c>
    </row>
    <row r="30">
      <c r="A30" s="16">
        <v>25.0</v>
      </c>
      <c r="B30" s="18" t="s">
        <v>519</v>
      </c>
      <c r="C30" s="24" t="s">
        <v>16</v>
      </c>
    </row>
    <row r="31">
      <c r="A31" s="16">
        <v>26.0</v>
      </c>
      <c r="B31" s="18" t="s">
        <v>521</v>
      </c>
      <c r="C31" s="24" t="s">
        <v>16</v>
      </c>
    </row>
    <row r="32">
      <c r="A32" s="16">
        <v>27.0</v>
      </c>
      <c r="B32" s="18" t="s">
        <v>524</v>
      </c>
      <c r="C32" s="24" t="s">
        <v>16</v>
      </c>
    </row>
    <row r="33">
      <c r="A33" s="16">
        <v>28.0</v>
      </c>
      <c r="B33" s="18"/>
      <c r="C33" s="24"/>
    </row>
    <row r="34">
      <c r="A34" s="16">
        <v>29.0</v>
      </c>
      <c r="B34" s="18"/>
      <c r="C34" s="37"/>
    </row>
    <row r="35">
      <c r="A35" s="16">
        <v>30.0</v>
      </c>
      <c r="B35" s="18"/>
      <c r="C35" s="37"/>
    </row>
    <row r="36">
      <c r="A36" s="16">
        <v>31.0</v>
      </c>
      <c r="B36" s="18"/>
      <c r="C36" s="37"/>
    </row>
    <row r="37">
      <c r="A37" s="16">
        <v>32.0</v>
      </c>
      <c r="B37" s="18"/>
      <c r="C37" s="37"/>
    </row>
    <row r="38">
      <c r="A38" s="16">
        <v>33.0</v>
      </c>
      <c r="B38" s="18"/>
      <c r="C38" s="37"/>
    </row>
    <row r="39">
      <c r="A39" s="16">
        <v>34.0</v>
      </c>
      <c r="B39" s="18"/>
      <c r="C39" s="37"/>
    </row>
    <row r="40">
      <c r="A40" s="16">
        <v>35.0</v>
      </c>
      <c r="B40" s="18"/>
      <c r="C40" s="37"/>
    </row>
    <row r="41">
      <c r="A41" s="16">
        <v>36.0</v>
      </c>
      <c r="B41" s="18"/>
      <c r="C41" s="37"/>
    </row>
    <row r="42">
      <c r="A42" s="16">
        <v>37.0</v>
      </c>
      <c r="B42" s="18"/>
      <c r="C42" s="37"/>
    </row>
    <row r="43">
      <c r="A43" s="16">
        <v>38.0</v>
      </c>
      <c r="B43" s="18"/>
      <c r="C43" s="37"/>
    </row>
    <row r="44">
      <c r="A44" s="16">
        <v>39.0</v>
      </c>
      <c r="B44" s="18"/>
      <c r="C44" s="37"/>
    </row>
    <row r="45">
      <c r="A45" s="16">
        <v>40.0</v>
      </c>
      <c r="B45" s="18"/>
      <c r="C45" s="38"/>
    </row>
    <row r="46">
      <c r="A46" s="16">
        <v>41.0</v>
      </c>
      <c r="B46" s="18"/>
      <c r="C46" s="38"/>
    </row>
    <row r="47">
      <c r="A47" s="16">
        <v>42.0</v>
      </c>
      <c r="B47" s="18"/>
      <c r="C47" s="38"/>
    </row>
    <row r="48">
      <c r="A48" s="16">
        <v>43.0</v>
      </c>
      <c r="B48" s="18"/>
      <c r="C48" s="38"/>
    </row>
    <row r="49">
      <c r="A49" s="16">
        <v>44.0</v>
      </c>
      <c r="B49" s="18"/>
      <c r="C49" s="38"/>
    </row>
    <row r="50">
      <c r="A50" s="16">
        <v>45.0</v>
      </c>
      <c r="B50" s="18"/>
      <c r="C50" s="38"/>
    </row>
    <row r="51">
      <c r="A51" s="28" t="s">
        <v>167</v>
      </c>
      <c r="B51" s="2"/>
      <c r="C51" s="3"/>
    </row>
    <row r="52">
      <c r="A52" s="29" t="s">
        <v>171</v>
      </c>
      <c r="B52" s="2"/>
      <c r="C52" s="3"/>
    </row>
  </sheetData>
  <mergeCells count="6">
    <mergeCell ref="A1:C1"/>
    <mergeCell ref="A2:C2"/>
    <mergeCell ref="A3:C3"/>
    <mergeCell ref="A4:C4"/>
    <mergeCell ref="A51:C51"/>
    <mergeCell ref="A52:C52"/>
  </mergeCells>
  <conditionalFormatting sqref="C1:C50">
    <cfRule type="containsText" dxfId="0" priority="1" operator="containsText" text="Enrolled">
      <formula>NOT(ISERROR(SEARCH(("Enrolled"),(C1))))</formula>
    </cfRule>
  </conditionalFormatting>
  <conditionalFormatting sqref="C5:C50">
    <cfRule type="containsText" dxfId="1" priority="2" operator="containsText" text="Enlisted">
      <formula>NOT(ISERROR(SEARCH(("Enlisted"),(C5))))</formula>
    </cfRule>
  </conditionalFormatting>
  <hyperlinks>
    <hyperlink r:id="rId1" ref="A3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4" width="12.88"/>
  </cols>
  <sheetData>
    <row r="1">
      <c r="A1" s="4" t="s">
        <v>431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439</v>
      </c>
      <c r="B3" s="9"/>
      <c r="C3" s="10"/>
      <c r="D3" s="7"/>
    </row>
    <row r="4">
      <c r="A4" s="11" t="s">
        <v>8</v>
      </c>
      <c r="B4" s="2"/>
      <c r="C4" s="3"/>
      <c r="D4" s="7"/>
    </row>
    <row r="5">
      <c r="A5" s="12" t="s">
        <v>11</v>
      </c>
      <c r="B5" s="12" t="s">
        <v>12</v>
      </c>
      <c r="C5" s="31" t="s">
        <v>13</v>
      </c>
      <c r="D5" s="7"/>
    </row>
    <row r="6">
      <c r="A6" s="16">
        <v>1.0</v>
      </c>
      <c r="B6" s="18" t="s">
        <v>459</v>
      </c>
      <c r="C6" s="20" t="s">
        <v>16</v>
      </c>
      <c r="D6" s="7"/>
    </row>
    <row r="7">
      <c r="A7" s="16">
        <v>2.0</v>
      </c>
      <c r="B7" s="18" t="s">
        <v>462</v>
      </c>
      <c r="C7" s="20" t="s">
        <v>16</v>
      </c>
      <c r="D7" s="7"/>
    </row>
    <row r="8">
      <c r="A8" s="16">
        <v>3.0</v>
      </c>
      <c r="B8" s="18" t="s">
        <v>467</v>
      </c>
      <c r="C8" s="20" t="s">
        <v>16</v>
      </c>
      <c r="D8" s="7"/>
    </row>
    <row r="9">
      <c r="A9" s="16">
        <v>4.0</v>
      </c>
      <c r="B9" s="18" t="s">
        <v>470</v>
      </c>
      <c r="C9" s="20" t="s">
        <v>16</v>
      </c>
      <c r="D9" s="7"/>
    </row>
    <row r="10">
      <c r="A10" s="16">
        <v>5.0</v>
      </c>
      <c r="B10" s="18" t="s">
        <v>473</v>
      </c>
      <c r="C10" s="20" t="s">
        <v>16</v>
      </c>
      <c r="D10" s="7"/>
    </row>
    <row r="11">
      <c r="A11" s="16">
        <v>6.0</v>
      </c>
      <c r="B11" s="18" t="s">
        <v>476</v>
      </c>
      <c r="C11" s="20" t="s">
        <v>16</v>
      </c>
      <c r="D11" s="7"/>
    </row>
    <row r="12">
      <c r="A12" s="16">
        <v>7.0</v>
      </c>
      <c r="B12" s="18" t="s">
        <v>478</v>
      </c>
      <c r="C12" s="20" t="s">
        <v>16</v>
      </c>
      <c r="D12" s="7"/>
    </row>
    <row r="13">
      <c r="A13" s="16">
        <v>8.0</v>
      </c>
      <c r="B13" s="18" t="s">
        <v>480</v>
      </c>
      <c r="C13" s="20" t="s">
        <v>16</v>
      </c>
      <c r="D13" s="7"/>
    </row>
    <row r="14">
      <c r="A14" s="16">
        <v>9.0</v>
      </c>
      <c r="B14" s="18" t="s">
        <v>482</v>
      </c>
      <c r="C14" s="20" t="s">
        <v>16</v>
      </c>
      <c r="D14" s="7"/>
    </row>
    <row r="15">
      <c r="A15" s="16">
        <v>10.0</v>
      </c>
      <c r="B15" s="18" t="s">
        <v>484</v>
      </c>
      <c r="C15" s="20" t="s">
        <v>16</v>
      </c>
      <c r="D15" s="7"/>
    </row>
    <row r="16">
      <c r="A16" s="16">
        <v>11.0</v>
      </c>
      <c r="B16" s="18" t="s">
        <v>486</v>
      </c>
      <c r="C16" s="20" t="s">
        <v>16</v>
      </c>
      <c r="D16" s="7"/>
    </row>
    <row r="17">
      <c r="A17" s="16">
        <v>12.0</v>
      </c>
      <c r="B17" s="18" t="s">
        <v>488</v>
      </c>
      <c r="C17" s="20" t="s">
        <v>16</v>
      </c>
      <c r="D17" s="7"/>
    </row>
    <row r="18">
      <c r="A18" s="16">
        <v>13.0</v>
      </c>
      <c r="B18" s="18" t="s">
        <v>491</v>
      </c>
      <c r="C18" s="20" t="s">
        <v>16</v>
      </c>
      <c r="D18" s="7"/>
    </row>
    <row r="19">
      <c r="A19" s="16">
        <v>14.0</v>
      </c>
      <c r="B19" s="18" t="s">
        <v>494</v>
      </c>
      <c r="C19" s="20" t="s">
        <v>16</v>
      </c>
      <c r="D19" s="7"/>
    </row>
    <row r="20">
      <c r="A20" s="16">
        <v>15.0</v>
      </c>
      <c r="B20" s="18" t="s">
        <v>496</v>
      </c>
      <c r="C20" s="20" t="s">
        <v>16</v>
      </c>
      <c r="D20" s="7"/>
    </row>
    <row r="21">
      <c r="A21" s="16">
        <v>16.0</v>
      </c>
      <c r="B21" s="18" t="s">
        <v>498</v>
      </c>
      <c r="C21" s="20" t="s">
        <v>16</v>
      </c>
      <c r="D21" s="7"/>
    </row>
    <row r="22">
      <c r="A22" s="16">
        <v>17.0</v>
      </c>
      <c r="B22" s="18" t="s">
        <v>501</v>
      </c>
      <c r="C22" s="20" t="s">
        <v>16</v>
      </c>
      <c r="D22" s="7"/>
    </row>
    <row r="23">
      <c r="A23" s="16">
        <v>18.0</v>
      </c>
      <c r="B23" s="18" t="s">
        <v>504</v>
      </c>
      <c r="C23" s="20" t="s">
        <v>16</v>
      </c>
      <c r="D23" s="7"/>
    </row>
    <row r="24">
      <c r="A24" s="16">
        <v>19.0</v>
      </c>
      <c r="B24" s="18" t="s">
        <v>507</v>
      </c>
      <c r="C24" s="22" t="s">
        <v>16</v>
      </c>
      <c r="D24" s="7"/>
    </row>
    <row r="25">
      <c r="A25" s="16">
        <v>20.0</v>
      </c>
      <c r="B25" s="18" t="s">
        <v>511</v>
      </c>
      <c r="C25" s="20" t="s">
        <v>16</v>
      </c>
      <c r="D25" s="7"/>
    </row>
    <row r="26">
      <c r="A26" s="16">
        <v>21.0</v>
      </c>
      <c r="B26" s="18" t="s">
        <v>514</v>
      </c>
      <c r="C26" s="20" t="s">
        <v>16</v>
      </c>
      <c r="D26" s="7"/>
    </row>
    <row r="27">
      <c r="A27" s="16">
        <v>22.0</v>
      </c>
      <c r="B27" s="18" t="s">
        <v>527</v>
      </c>
      <c r="C27" s="20" t="s">
        <v>16</v>
      </c>
      <c r="D27" s="7"/>
    </row>
    <row r="28">
      <c r="A28" s="16">
        <v>23.0</v>
      </c>
      <c r="B28" s="18" t="s">
        <v>531</v>
      </c>
      <c r="C28" s="20" t="s">
        <v>20</v>
      </c>
      <c r="D28" s="7"/>
    </row>
    <row r="29">
      <c r="A29" s="16">
        <v>24.0</v>
      </c>
      <c r="B29" s="18" t="s">
        <v>534</v>
      </c>
      <c r="C29" s="20" t="s">
        <v>16</v>
      </c>
      <c r="D29" s="7"/>
    </row>
    <row r="30">
      <c r="A30" s="16">
        <v>25.0</v>
      </c>
      <c r="B30" s="18" t="s">
        <v>536</v>
      </c>
      <c r="C30" s="20" t="s">
        <v>16</v>
      </c>
      <c r="D30" s="7"/>
    </row>
    <row r="31">
      <c r="A31" s="16">
        <v>26.0</v>
      </c>
      <c r="B31" s="18" t="s">
        <v>539</v>
      </c>
      <c r="C31" s="20" t="s">
        <v>16</v>
      </c>
      <c r="D31" s="7"/>
    </row>
    <row r="32">
      <c r="A32" s="16">
        <v>27.0</v>
      </c>
      <c r="B32" s="18" t="s">
        <v>542</v>
      </c>
      <c r="C32" s="20" t="s">
        <v>16</v>
      </c>
      <c r="D32" s="7"/>
    </row>
    <row r="33">
      <c r="A33" s="16">
        <v>28.0</v>
      </c>
      <c r="B33" s="18" t="s">
        <v>543</v>
      </c>
      <c r="C33" s="20" t="s">
        <v>16</v>
      </c>
      <c r="D33" s="7"/>
    </row>
    <row r="34">
      <c r="A34" s="16">
        <v>29.0</v>
      </c>
      <c r="B34" s="18" t="s">
        <v>546</v>
      </c>
      <c r="C34" s="20" t="s">
        <v>16</v>
      </c>
      <c r="D34" s="7"/>
    </row>
    <row r="35">
      <c r="A35" s="16">
        <v>30.0</v>
      </c>
      <c r="B35" s="18" t="s">
        <v>549</v>
      </c>
      <c r="C35" s="20" t="s">
        <v>16</v>
      </c>
      <c r="D35" s="7"/>
    </row>
    <row r="36">
      <c r="A36" s="16">
        <v>31.0</v>
      </c>
      <c r="B36" s="18" t="s">
        <v>553</v>
      </c>
      <c r="C36" s="20" t="s">
        <v>16</v>
      </c>
      <c r="D36" s="7"/>
    </row>
    <row r="37">
      <c r="A37" s="16">
        <v>32.0</v>
      </c>
      <c r="B37" s="18" t="s">
        <v>555</v>
      </c>
      <c r="C37" s="20" t="s">
        <v>16</v>
      </c>
      <c r="D37" s="7"/>
    </row>
    <row r="38">
      <c r="A38" s="16">
        <v>33.0</v>
      </c>
      <c r="B38" s="18" t="s">
        <v>559</v>
      </c>
      <c r="C38" s="20" t="s">
        <v>16</v>
      </c>
      <c r="D38" s="7"/>
    </row>
    <row r="39">
      <c r="A39" s="16">
        <v>34.0</v>
      </c>
      <c r="B39" s="18" t="s">
        <v>271</v>
      </c>
      <c r="C39" s="22" t="s">
        <v>16</v>
      </c>
      <c r="D39" s="7"/>
    </row>
    <row r="40">
      <c r="A40" s="16">
        <v>35.0</v>
      </c>
      <c r="B40" s="18" t="s">
        <v>566</v>
      </c>
      <c r="C40" s="20" t="s">
        <v>16</v>
      </c>
      <c r="D40" s="7"/>
    </row>
    <row r="41">
      <c r="A41" s="16">
        <v>36.0</v>
      </c>
      <c r="B41" s="18" t="s">
        <v>567</v>
      </c>
      <c r="C41" s="20" t="s">
        <v>16</v>
      </c>
      <c r="D41" s="7"/>
    </row>
    <row r="42">
      <c r="A42" s="16">
        <v>37.0</v>
      </c>
      <c r="B42" s="18" t="s">
        <v>570</v>
      </c>
      <c r="C42" s="20" t="s">
        <v>16</v>
      </c>
      <c r="D42" s="7"/>
    </row>
    <row r="43">
      <c r="A43" s="16">
        <v>38.0</v>
      </c>
      <c r="B43" s="18" t="s">
        <v>573</v>
      </c>
      <c r="C43" s="20" t="s">
        <v>16</v>
      </c>
      <c r="D43" s="7"/>
    </row>
    <row r="44">
      <c r="A44" s="16">
        <v>39.0</v>
      </c>
      <c r="B44" s="18" t="s">
        <v>575</v>
      </c>
      <c r="C44" s="20" t="s">
        <v>16</v>
      </c>
      <c r="D44" s="7"/>
    </row>
    <row r="45">
      <c r="A45" s="16">
        <v>40.0</v>
      </c>
      <c r="B45" s="18" t="s">
        <v>579</v>
      </c>
      <c r="C45" s="26" t="s">
        <v>16</v>
      </c>
      <c r="D45" s="7"/>
    </row>
    <row r="46">
      <c r="A46" s="16">
        <v>41.0</v>
      </c>
      <c r="B46" s="18" t="s">
        <v>583</v>
      </c>
      <c r="C46" s="26" t="s">
        <v>16</v>
      </c>
      <c r="D46" s="7"/>
    </row>
    <row r="47">
      <c r="A47" s="16">
        <v>42.0</v>
      </c>
      <c r="B47" s="18" t="s">
        <v>587</v>
      </c>
      <c r="C47" s="26" t="s">
        <v>16</v>
      </c>
      <c r="D47" s="7"/>
    </row>
    <row r="48">
      <c r="A48" s="16">
        <v>43.0</v>
      </c>
      <c r="B48" s="18" t="s">
        <v>591</v>
      </c>
      <c r="C48" s="26" t="s">
        <v>16</v>
      </c>
      <c r="D48" s="7"/>
    </row>
    <row r="49">
      <c r="A49" s="16">
        <v>44.0</v>
      </c>
      <c r="B49" s="18" t="s">
        <v>594</v>
      </c>
      <c r="C49" s="26" t="s">
        <v>16</v>
      </c>
      <c r="D49" s="7"/>
    </row>
    <row r="50">
      <c r="A50" s="16">
        <v>45.0</v>
      </c>
      <c r="B50" s="18" t="s">
        <v>598</v>
      </c>
      <c r="C50" s="26" t="s">
        <v>16</v>
      </c>
      <c r="D50" s="7"/>
    </row>
    <row r="51">
      <c r="A51" s="16">
        <v>46.0</v>
      </c>
      <c r="B51" s="18" t="s">
        <v>600</v>
      </c>
      <c r="C51" s="26" t="s">
        <v>16</v>
      </c>
      <c r="D51" s="7"/>
    </row>
    <row r="52">
      <c r="A52" s="16">
        <v>47.0</v>
      </c>
      <c r="B52" s="18" t="s">
        <v>602</v>
      </c>
      <c r="C52" s="26" t="s">
        <v>16</v>
      </c>
      <c r="D52" s="7"/>
    </row>
    <row r="53">
      <c r="A53" s="16">
        <v>48.0</v>
      </c>
      <c r="B53" s="18" t="s">
        <v>604</v>
      </c>
      <c r="C53" s="26" t="s">
        <v>16</v>
      </c>
      <c r="D53" s="7"/>
    </row>
    <row r="54">
      <c r="A54" s="28" t="s">
        <v>167</v>
      </c>
      <c r="B54" s="2"/>
      <c r="C54" s="3"/>
      <c r="D54" s="7"/>
    </row>
    <row r="55">
      <c r="A55" s="29" t="s">
        <v>171</v>
      </c>
      <c r="B55" s="2"/>
      <c r="C55" s="3"/>
      <c r="D55" s="30"/>
    </row>
  </sheetData>
  <mergeCells count="7">
    <mergeCell ref="A1:C1"/>
    <mergeCell ref="D1:D55"/>
    <mergeCell ref="A2:C2"/>
    <mergeCell ref="A3:C3"/>
    <mergeCell ref="A4:C4"/>
    <mergeCell ref="A54:C54"/>
    <mergeCell ref="A55:C55"/>
  </mergeCells>
  <conditionalFormatting sqref="C1:D53">
    <cfRule type="containsText" dxfId="0" priority="1" operator="containsText" text="Enrolled">
      <formula>NOT(ISERROR(SEARCH(("Enrolled"),(C1))))</formula>
    </cfRule>
  </conditionalFormatting>
  <conditionalFormatting sqref="C1:D53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490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499</v>
      </c>
      <c r="B3" s="9"/>
      <c r="C3" s="10"/>
      <c r="D3" s="7"/>
    </row>
    <row r="4">
      <c r="A4" s="11" t="s">
        <v>15</v>
      </c>
      <c r="B4" s="2"/>
      <c r="C4" s="3"/>
      <c r="D4" s="7"/>
    </row>
    <row r="5">
      <c r="A5" s="12" t="s">
        <v>11</v>
      </c>
      <c r="B5" s="12" t="s">
        <v>12</v>
      </c>
      <c r="C5" s="31" t="s">
        <v>13</v>
      </c>
      <c r="D5" s="7"/>
    </row>
    <row r="6">
      <c r="A6" s="16">
        <v>1.0</v>
      </c>
      <c r="B6" s="18" t="s">
        <v>525</v>
      </c>
      <c r="C6" s="20" t="s">
        <v>16</v>
      </c>
      <c r="D6" s="7"/>
    </row>
    <row r="7">
      <c r="A7" s="16">
        <v>2.0</v>
      </c>
      <c r="B7" s="18" t="s">
        <v>530</v>
      </c>
      <c r="C7" s="20" t="s">
        <v>16</v>
      </c>
      <c r="D7" s="7"/>
    </row>
    <row r="8">
      <c r="A8" s="16">
        <v>3.0</v>
      </c>
      <c r="B8" s="18" t="s">
        <v>533</v>
      </c>
      <c r="C8" s="20" t="s">
        <v>16</v>
      </c>
      <c r="D8" s="7"/>
    </row>
    <row r="9">
      <c r="A9" s="16">
        <v>4.0</v>
      </c>
      <c r="B9" s="18" t="s">
        <v>537</v>
      </c>
      <c r="C9" s="20" t="s">
        <v>16</v>
      </c>
      <c r="D9" s="7"/>
    </row>
    <row r="10">
      <c r="A10" s="16">
        <v>5.0</v>
      </c>
      <c r="B10" s="18" t="s">
        <v>540</v>
      </c>
      <c r="C10" s="20" t="s">
        <v>16</v>
      </c>
      <c r="D10" s="7"/>
    </row>
    <row r="11">
      <c r="A11" s="16">
        <v>6.0</v>
      </c>
      <c r="B11" s="18" t="s">
        <v>544</v>
      </c>
      <c r="C11" s="20" t="s">
        <v>16</v>
      </c>
      <c r="D11" s="7"/>
    </row>
    <row r="12">
      <c r="A12" s="16">
        <v>7.0</v>
      </c>
      <c r="B12" s="18" t="s">
        <v>548</v>
      </c>
      <c r="C12" s="20" t="s">
        <v>16</v>
      </c>
      <c r="D12" s="7"/>
    </row>
    <row r="13">
      <c r="A13" s="16">
        <v>8.0</v>
      </c>
      <c r="B13" s="18" t="s">
        <v>551</v>
      </c>
      <c r="C13" s="20" t="s">
        <v>16</v>
      </c>
      <c r="D13" s="7"/>
    </row>
    <row r="14">
      <c r="A14" s="16">
        <v>9.0</v>
      </c>
      <c r="B14" s="18" t="s">
        <v>557</v>
      </c>
      <c r="C14" s="20" t="s">
        <v>16</v>
      </c>
      <c r="D14" s="7"/>
    </row>
    <row r="15">
      <c r="A15" s="16">
        <v>10.0</v>
      </c>
      <c r="B15" s="18" t="s">
        <v>561</v>
      </c>
      <c r="C15" s="20" t="s">
        <v>16</v>
      </c>
      <c r="D15" s="7"/>
    </row>
    <row r="16">
      <c r="A16" s="16">
        <v>11.0</v>
      </c>
      <c r="B16" s="18" t="s">
        <v>564</v>
      </c>
      <c r="C16" s="20" t="s">
        <v>16</v>
      </c>
      <c r="D16" s="7"/>
    </row>
    <row r="17">
      <c r="A17" s="16">
        <v>12.0</v>
      </c>
      <c r="B17" s="18" t="s">
        <v>569</v>
      </c>
      <c r="C17" s="20" t="s">
        <v>16</v>
      </c>
      <c r="D17" s="7"/>
    </row>
    <row r="18">
      <c r="A18" s="16">
        <v>13.0</v>
      </c>
      <c r="B18" s="18" t="s">
        <v>574</v>
      </c>
      <c r="C18" s="20" t="s">
        <v>16</v>
      </c>
      <c r="D18" s="7"/>
    </row>
    <row r="19">
      <c r="A19" s="16">
        <v>14.0</v>
      </c>
      <c r="B19" s="18" t="s">
        <v>577</v>
      </c>
      <c r="C19" s="20" t="s">
        <v>16</v>
      </c>
      <c r="D19" s="7"/>
    </row>
    <row r="20">
      <c r="A20" s="16">
        <v>15.0</v>
      </c>
      <c r="B20" s="18" t="s">
        <v>581</v>
      </c>
      <c r="C20" s="20" t="s">
        <v>16</v>
      </c>
      <c r="D20" s="7"/>
    </row>
    <row r="21">
      <c r="A21" s="16">
        <v>16.0</v>
      </c>
      <c r="B21" s="18" t="s">
        <v>585</v>
      </c>
      <c r="C21" s="22" t="s">
        <v>16</v>
      </c>
      <c r="D21" s="7"/>
    </row>
    <row r="22">
      <c r="A22" s="16">
        <v>17.0</v>
      </c>
      <c r="B22" s="18" t="s">
        <v>589</v>
      </c>
      <c r="C22" s="20" t="s">
        <v>16</v>
      </c>
      <c r="D22" s="7"/>
    </row>
    <row r="23">
      <c r="A23" s="16">
        <v>18.0</v>
      </c>
      <c r="B23" s="18" t="s">
        <v>592</v>
      </c>
      <c r="C23" s="20" t="s">
        <v>16</v>
      </c>
      <c r="D23" s="7"/>
    </row>
    <row r="24">
      <c r="A24" s="16">
        <v>19.0</v>
      </c>
      <c r="B24" s="18" t="s">
        <v>596</v>
      </c>
      <c r="C24" s="20" t="s">
        <v>16</v>
      </c>
      <c r="D24" s="7"/>
    </row>
    <row r="25">
      <c r="A25" s="16">
        <v>20.0</v>
      </c>
      <c r="B25" s="18" t="s">
        <v>599</v>
      </c>
      <c r="C25" s="20" t="s">
        <v>16</v>
      </c>
      <c r="D25" s="7"/>
    </row>
    <row r="26">
      <c r="A26" s="16">
        <v>21.0</v>
      </c>
      <c r="B26" s="18" t="s">
        <v>601</v>
      </c>
      <c r="C26" s="20" t="s">
        <v>16</v>
      </c>
      <c r="D26" s="7"/>
    </row>
    <row r="27">
      <c r="A27" s="16">
        <v>22.0</v>
      </c>
      <c r="B27" s="18" t="s">
        <v>603</v>
      </c>
      <c r="C27" s="20" t="s">
        <v>16</v>
      </c>
      <c r="D27" s="7"/>
    </row>
    <row r="28">
      <c r="A28" s="16">
        <v>23.0</v>
      </c>
      <c r="B28" s="18" t="s">
        <v>606</v>
      </c>
      <c r="C28" s="20" t="s">
        <v>16</v>
      </c>
      <c r="D28" s="7"/>
    </row>
    <row r="29">
      <c r="A29" s="16">
        <v>24.0</v>
      </c>
      <c r="B29" s="18" t="s">
        <v>608</v>
      </c>
      <c r="C29" s="20" t="s">
        <v>16</v>
      </c>
      <c r="D29" s="7"/>
    </row>
    <row r="30">
      <c r="A30" s="16">
        <v>25.0</v>
      </c>
      <c r="B30" s="18" t="s">
        <v>609</v>
      </c>
      <c r="C30" s="20" t="s">
        <v>16</v>
      </c>
      <c r="D30" s="7"/>
    </row>
    <row r="31">
      <c r="A31" s="16">
        <v>26.0</v>
      </c>
      <c r="B31" s="18" t="s">
        <v>612</v>
      </c>
      <c r="C31" s="20" t="s">
        <v>16</v>
      </c>
      <c r="D31" s="7"/>
    </row>
    <row r="32">
      <c r="A32" s="16">
        <v>27.0</v>
      </c>
      <c r="B32" s="18" t="s">
        <v>613</v>
      </c>
      <c r="C32" s="20" t="s">
        <v>16</v>
      </c>
      <c r="D32" s="7"/>
    </row>
    <row r="33">
      <c r="A33" s="16">
        <v>28.0</v>
      </c>
      <c r="B33" s="18" t="s">
        <v>614</v>
      </c>
      <c r="C33" s="20" t="s">
        <v>16</v>
      </c>
      <c r="D33" s="7"/>
    </row>
    <row r="34">
      <c r="A34" s="16">
        <v>29.0</v>
      </c>
      <c r="B34" s="18" t="s">
        <v>615</v>
      </c>
      <c r="C34" s="20" t="s">
        <v>16</v>
      </c>
      <c r="D34" s="7"/>
    </row>
    <row r="35">
      <c r="A35" s="16">
        <v>30.0</v>
      </c>
      <c r="B35" s="18" t="s">
        <v>616</v>
      </c>
      <c r="C35" s="20" t="s">
        <v>16</v>
      </c>
      <c r="D35" s="7"/>
    </row>
    <row r="36">
      <c r="A36" s="16">
        <v>31.0</v>
      </c>
      <c r="B36" s="18" t="s">
        <v>618</v>
      </c>
      <c r="C36" s="20" t="s">
        <v>16</v>
      </c>
      <c r="D36" s="7"/>
    </row>
    <row r="37">
      <c r="A37" s="16">
        <v>32.0</v>
      </c>
      <c r="B37" s="18" t="s">
        <v>621</v>
      </c>
      <c r="C37" s="20" t="s">
        <v>16</v>
      </c>
      <c r="D37" s="7"/>
    </row>
    <row r="38">
      <c r="A38" s="16">
        <v>33.0</v>
      </c>
      <c r="B38" s="18" t="s">
        <v>625</v>
      </c>
      <c r="C38" s="20" t="s">
        <v>16</v>
      </c>
      <c r="D38" s="7"/>
    </row>
    <row r="39">
      <c r="A39" s="16">
        <v>34.0</v>
      </c>
      <c r="B39" s="18" t="s">
        <v>628</v>
      </c>
      <c r="C39" s="22" t="s">
        <v>16</v>
      </c>
      <c r="D39" s="7"/>
    </row>
    <row r="40">
      <c r="A40" s="16">
        <v>35.0</v>
      </c>
      <c r="B40" s="18" t="s">
        <v>632</v>
      </c>
      <c r="C40" s="20" t="s">
        <v>16</v>
      </c>
      <c r="D40" s="7"/>
    </row>
    <row r="41">
      <c r="A41" s="16">
        <v>36.0</v>
      </c>
      <c r="B41" s="18" t="s">
        <v>635</v>
      </c>
      <c r="C41" s="20" t="s">
        <v>16</v>
      </c>
      <c r="D41" s="7"/>
    </row>
    <row r="42">
      <c r="A42" s="16">
        <v>37.0</v>
      </c>
      <c r="B42" s="18" t="s">
        <v>639</v>
      </c>
      <c r="C42" s="20" t="s">
        <v>16</v>
      </c>
      <c r="D42" s="7"/>
    </row>
    <row r="43">
      <c r="A43" s="16">
        <v>38.0</v>
      </c>
      <c r="B43" s="18" t="s">
        <v>642</v>
      </c>
      <c r="C43" s="20" t="s">
        <v>16</v>
      </c>
      <c r="D43" s="7"/>
    </row>
    <row r="44">
      <c r="A44" s="16">
        <v>39.0</v>
      </c>
      <c r="B44" s="18" t="s">
        <v>646</v>
      </c>
      <c r="C44" s="20" t="s">
        <v>16</v>
      </c>
      <c r="D44" s="7"/>
    </row>
    <row r="45">
      <c r="A45" s="16">
        <v>40.0</v>
      </c>
      <c r="B45" s="18" t="s">
        <v>656</v>
      </c>
      <c r="C45" s="20" t="s">
        <v>16</v>
      </c>
      <c r="D45" s="7"/>
    </row>
    <row r="46">
      <c r="A46" s="16">
        <v>41.0</v>
      </c>
      <c r="B46" s="18" t="s">
        <v>660</v>
      </c>
      <c r="C46" s="20" t="s">
        <v>16</v>
      </c>
      <c r="D46" s="7"/>
    </row>
    <row r="47">
      <c r="A47" s="16">
        <v>42.0</v>
      </c>
      <c r="B47" s="18" t="s">
        <v>666</v>
      </c>
      <c r="C47" s="20" t="s">
        <v>16</v>
      </c>
      <c r="D47" s="7"/>
    </row>
    <row r="48">
      <c r="A48" s="16">
        <v>43.0</v>
      </c>
      <c r="B48" s="18" t="s">
        <v>670</v>
      </c>
      <c r="C48" s="20" t="s">
        <v>16</v>
      </c>
      <c r="D48" s="7"/>
    </row>
    <row r="49">
      <c r="A49" s="16">
        <v>44.0</v>
      </c>
      <c r="B49" s="18" t="s">
        <v>673</v>
      </c>
      <c r="C49" s="20" t="s">
        <v>16</v>
      </c>
      <c r="D49" s="7"/>
    </row>
    <row r="50">
      <c r="A50" s="16">
        <v>45.0</v>
      </c>
      <c r="B50" s="18" t="s">
        <v>678</v>
      </c>
      <c r="C50" s="20" t="s">
        <v>16</v>
      </c>
      <c r="D50" s="7"/>
    </row>
    <row r="51">
      <c r="A51" s="16">
        <v>46.0</v>
      </c>
      <c r="B51" s="18" t="s">
        <v>683</v>
      </c>
      <c r="C51" s="20" t="s">
        <v>16</v>
      </c>
      <c r="D51" s="7"/>
    </row>
    <row r="52">
      <c r="A52" s="16">
        <v>47.0</v>
      </c>
      <c r="B52" s="18" t="s">
        <v>690</v>
      </c>
      <c r="C52" s="20" t="s">
        <v>16</v>
      </c>
      <c r="D52" s="7"/>
    </row>
    <row r="53">
      <c r="A53" s="28" t="s">
        <v>167</v>
      </c>
      <c r="B53" s="2"/>
      <c r="C53" s="3"/>
      <c r="D53" s="7"/>
    </row>
    <row r="54">
      <c r="A54" s="29" t="s">
        <v>171</v>
      </c>
      <c r="B54" s="2"/>
      <c r="C54" s="3"/>
      <c r="D54" s="30"/>
    </row>
  </sheetData>
  <mergeCells count="7">
    <mergeCell ref="A1:C1"/>
    <mergeCell ref="D1:D54"/>
    <mergeCell ref="A2:C2"/>
    <mergeCell ref="A3:C3"/>
    <mergeCell ref="A4:C4"/>
    <mergeCell ref="A53:C53"/>
    <mergeCell ref="A54:C54"/>
  </mergeCells>
  <conditionalFormatting sqref="C1:D52">
    <cfRule type="containsText" dxfId="0" priority="1" operator="containsText" text="Enrolled">
      <formula>NOT(ISERROR(SEARCH(("Enrolled"),(C1))))</formula>
    </cfRule>
  </conditionalFormatting>
  <conditionalFormatting sqref="C1:D52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</cols>
  <sheetData>
    <row r="1">
      <c r="A1" s="4" t="s">
        <v>489</v>
      </c>
      <c r="B1" s="2"/>
      <c r="C1" s="3"/>
    </row>
    <row r="2">
      <c r="A2" s="6" t="s">
        <v>5</v>
      </c>
      <c r="B2" s="2"/>
      <c r="C2" s="3"/>
    </row>
    <row r="3">
      <c r="A3" s="15" t="s">
        <v>493</v>
      </c>
      <c r="B3" s="9"/>
      <c r="C3" s="10"/>
    </row>
    <row r="4">
      <c r="A4" s="11" t="s">
        <v>18</v>
      </c>
      <c r="B4" s="2"/>
      <c r="C4" s="3"/>
    </row>
    <row r="5">
      <c r="A5" s="12" t="s">
        <v>11</v>
      </c>
      <c r="B5" s="12" t="s">
        <v>12</v>
      </c>
      <c r="C5" s="31" t="s">
        <v>13</v>
      </c>
    </row>
    <row r="6">
      <c r="A6" s="16">
        <v>1.0</v>
      </c>
      <c r="B6" s="18" t="s">
        <v>503</v>
      </c>
      <c r="C6" s="24" t="s">
        <v>16</v>
      </c>
    </row>
    <row r="7">
      <c r="A7" s="16">
        <v>2.0</v>
      </c>
      <c r="B7" s="18" t="s">
        <v>506</v>
      </c>
      <c r="C7" s="24" t="s">
        <v>16</v>
      </c>
    </row>
    <row r="8">
      <c r="A8" s="16">
        <v>3.0</v>
      </c>
      <c r="B8" s="18" t="s">
        <v>509</v>
      </c>
      <c r="C8" s="24" t="s">
        <v>16</v>
      </c>
    </row>
    <row r="9">
      <c r="A9" s="16">
        <v>4.0</v>
      </c>
      <c r="B9" s="18" t="s">
        <v>510</v>
      </c>
      <c r="C9" s="24" t="s">
        <v>16</v>
      </c>
    </row>
    <row r="10">
      <c r="A10" s="16">
        <v>5.0</v>
      </c>
      <c r="B10" s="18" t="s">
        <v>513</v>
      </c>
      <c r="C10" s="24" t="s">
        <v>16</v>
      </c>
    </row>
    <row r="11">
      <c r="A11" s="16">
        <v>6.0</v>
      </c>
      <c r="B11" s="18" t="s">
        <v>515</v>
      </c>
      <c r="C11" s="24" t="s">
        <v>16</v>
      </c>
    </row>
    <row r="12">
      <c r="A12" s="16">
        <v>7.0</v>
      </c>
      <c r="B12" s="18" t="s">
        <v>517</v>
      </c>
      <c r="C12" s="24" t="s">
        <v>16</v>
      </c>
    </row>
    <row r="13">
      <c r="A13" s="16">
        <v>8.0</v>
      </c>
      <c r="B13" s="18" t="s">
        <v>518</v>
      </c>
      <c r="C13" s="24" t="s">
        <v>16</v>
      </c>
    </row>
    <row r="14">
      <c r="A14" s="16">
        <v>9.0</v>
      </c>
      <c r="B14" s="18" t="s">
        <v>520</v>
      </c>
      <c r="C14" s="24" t="s">
        <v>16</v>
      </c>
    </row>
    <row r="15">
      <c r="A15" s="16">
        <v>10.0</v>
      </c>
      <c r="B15" s="18" t="s">
        <v>522</v>
      </c>
      <c r="C15" s="24" t="s">
        <v>16</v>
      </c>
    </row>
    <row r="16">
      <c r="A16" s="16">
        <v>11.0</v>
      </c>
      <c r="B16" s="18" t="s">
        <v>523</v>
      </c>
      <c r="C16" s="24" t="s">
        <v>16</v>
      </c>
    </row>
    <row r="17">
      <c r="A17" s="16">
        <v>12.0</v>
      </c>
      <c r="B17" s="18" t="s">
        <v>526</v>
      </c>
      <c r="C17" s="24" t="s">
        <v>16</v>
      </c>
    </row>
    <row r="18">
      <c r="A18" s="16">
        <v>13.0</v>
      </c>
      <c r="B18" s="18" t="s">
        <v>528</v>
      </c>
      <c r="C18" s="24" t="s">
        <v>16</v>
      </c>
    </row>
    <row r="19">
      <c r="A19" s="16">
        <v>14.0</v>
      </c>
      <c r="B19" s="18" t="s">
        <v>529</v>
      </c>
      <c r="C19" s="24" t="s">
        <v>20</v>
      </c>
    </row>
    <row r="20">
      <c r="A20" s="16">
        <v>15.0</v>
      </c>
      <c r="B20" s="18" t="s">
        <v>532</v>
      </c>
      <c r="C20" s="24" t="s">
        <v>16</v>
      </c>
    </row>
    <row r="21">
      <c r="A21" s="16">
        <v>16.0</v>
      </c>
      <c r="B21" s="18" t="s">
        <v>83</v>
      </c>
      <c r="C21" s="25" t="s">
        <v>16</v>
      </c>
    </row>
    <row r="22">
      <c r="A22" s="16">
        <v>17.0</v>
      </c>
      <c r="B22" s="18" t="s">
        <v>535</v>
      </c>
      <c r="C22" s="24" t="s">
        <v>16</v>
      </c>
    </row>
    <row r="23">
      <c r="A23" s="16">
        <v>18.0</v>
      </c>
      <c r="B23" s="18" t="s">
        <v>538</v>
      </c>
      <c r="C23" s="24" t="s">
        <v>20</v>
      </c>
    </row>
    <row r="24">
      <c r="A24" s="16">
        <v>19.0</v>
      </c>
      <c r="B24" s="18" t="s">
        <v>541</v>
      </c>
      <c r="C24" s="24" t="s">
        <v>16</v>
      </c>
    </row>
    <row r="25">
      <c r="A25" s="16">
        <v>20.0</v>
      </c>
      <c r="B25" s="18" t="s">
        <v>545</v>
      </c>
      <c r="C25" s="24" t="s">
        <v>16</v>
      </c>
    </row>
    <row r="26">
      <c r="A26" s="16">
        <v>21.0</v>
      </c>
      <c r="B26" s="18" t="s">
        <v>547</v>
      </c>
      <c r="C26" s="24" t="s">
        <v>16</v>
      </c>
    </row>
    <row r="27">
      <c r="A27" s="16">
        <v>22.0</v>
      </c>
      <c r="B27" s="18" t="s">
        <v>550</v>
      </c>
      <c r="C27" s="24" t="s">
        <v>16</v>
      </c>
    </row>
    <row r="28">
      <c r="A28" s="16">
        <v>23.0</v>
      </c>
      <c r="B28" s="18" t="s">
        <v>552</v>
      </c>
      <c r="C28" s="24" t="s">
        <v>20</v>
      </c>
    </row>
    <row r="29">
      <c r="A29" s="16">
        <v>24.0</v>
      </c>
      <c r="B29" s="18" t="s">
        <v>554</v>
      </c>
      <c r="C29" s="24" t="s">
        <v>16</v>
      </c>
    </row>
    <row r="30">
      <c r="A30" s="16">
        <v>25.0</v>
      </c>
      <c r="B30" s="18" t="s">
        <v>556</v>
      </c>
      <c r="C30" s="24" t="s">
        <v>16</v>
      </c>
    </row>
    <row r="31">
      <c r="A31" s="16">
        <v>26.0</v>
      </c>
      <c r="B31" s="18" t="s">
        <v>558</v>
      </c>
      <c r="C31" s="24" t="s">
        <v>16</v>
      </c>
    </row>
    <row r="32">
      <c r="A32" s="16">
        <v>27.0</v>
      </c>
      <c r="B32" s="18" t="s">
        <v>560</v>
      </c>
      <c r="C32" s="24" t="s">
        <v>16</v>
      </c>
    </row>
    <row r="33">
      <c r="A33" s="16">
        <v>28.0</v>
      </c>
      <c r="B33" s="18" t="s">
        <v>562</v>
      </c>
      <c r="C33" s="24" t="s">
        <v>16</v>
      </c>
    </row>
    <row r="34">
      <c r="A34" s="16">
        <v>29.0</v>
      </c>
      <c r="B34" s="18" t="s">
        <v>563</v>
      </c>
      <c r="C34" s="24" t="s">
        <v>16</v>
      </c>
    </row>
    <row r="35">
      <c r="A35" s="16">
        <v>30.0</v>
      </c>
      <c r="B35" s="18" t="s">
        <v>565</v>
      </c>
      <c r="C35" s="24" t="s">
        <v>16</v>
      </c>
    </row>
    <row r="36">
      <c r="A36" s="16">
        <v>31.0</v>
      </c>
      <c r="B36" s="18" t="s">
        <v>568</v>
      </c>
      <c r="C36" s="24" t="s">
        <v>16</v>
      </c>
    </row>
    <row r="37">
      <c r="A37" s="16">
        <v>32.0</v>
      </c>
      <c r="B37" s="18" t="s">
        <v>571</v>
      </c>
      <c r="C37" s="24" t="s">
        <v>16</v>
      </c>
    </row>
    <row r="38">
      <c r="A38" s="16">
        <v>33.0</v>
      </c>
      <c r="B38" s="18" t="s">
        <v>572</v>
      </c>
      <c r="C38" s="24" t="s">
        <v>16</v>
      </c>
    </row>
    <row r="39">
      <c r="A39" s="16">
        <v>34.0</v>
      </c>
      <c r="B39" s="18" t="s">
        <v>576</v>
      </c>
      <c r="C39" s="25" t="s">
        <v>16</v>
      </c>
    </row>
    <row r="40">
      <c r="A40" s="16">
        <v>35.0</v>
      </c>
      <c r="B40" s="18" t="s">
        <v>578</v>
      </c>
      <c r="C40" s="24" t="s">
        <v>16</v>
      </c>
    </row>
    <row r="41">
      <c r="A41" s="16">
        <v>36.0</v>
      </c>
      <c r="B41" s="18" t="s">
        <v>580</v>
      </c>
      <c r="C41" s="24" t="s">
        <v>20</v>
      </c>
    </row>
    <row r="42">
      <c r="A42" s="16">
        <v>37.0</v>
      </c>
      <c r="B42" s="18" t="s">
        <v>582</v>
      </c>
      <c r="C42" s="24" t="s">
        <v>16</v>
      </c>
    </row>
    <row r="43">
      <c r="A43" s="16">
        <v>38.0</v>
      </c>
      <c r="B43" s="18" t="s">
        <v>584</v>
      </c>
      <c r="C43" s="24" t="s">
        <v>16</v>
      </c>
    </row>
    <row r="44">
      <c r="A44" s="16">
        <v>39.0</v>
      </c>
      <c r="B44" s="18" t="s">
        <v>586</v>
      </c>
      <c r="C44" s="24" t="s">
        <v>16</v>
      </c>
    </row>
    <row r="45">
      <c r="A45" s="16">
        <v>40.0</v>
      </c>
      <c r="B45" s="18" t="s">
        <v>588</v>
      </c>
      <c r="C45" s="21" t="s">
        <v>16</v>
      </c>
    </row>
    <row r="46">
      <c r="A46" s="16">
        <v>41.0</v>
      </c>
      <c r="B46" s="18" t="s">
        <v>590</v>
      </c>
      <c r="C46" s="21" t="s">
        <v>16</v>
      </c>
    </row>
    <row r="47">
      <c r="A47" s="16">
        <v>42.0</v>
      </c>
      <c r="B47" s="18" t="s">
        <v>593</v>
      </c>
      <c r="C47" s="21" t="s">
        <v>16</v>
      </c>
    </row>
    <row r="48">
      <c r="A48" s="16">
        <v>43.0</v>
      </c>
      <c r="B48" s="18" t="s">
        <v>595</v>
      </c>
      <c r="C48" s="21" t="s">
        <v>16</v>
      </c>
    </row>
    <row r="49">
      <c r="A49" s="16">
        <v>44.0</v>
      </c>
      <c r="B49" s="18" t="s">
        <v>597</v>
      </c>
      <c r="C49" s="21" t="s">
        <v>16</v>
      </c>
    </row>
    <row r="50">
      <c r="A50" s="16">
        <v>45.0</v>
      </c>
      <c r="B50" s="18"/>
      <c r="C50" s="21"/>
    </row>
    <row r="51">
      <c r="A51" s="28" t="s">
        <v>167</v>
      </c>
      <c r="B51" s="2"/>
      <c r="C51" s="3"/>
    </row>
    <row r="52">
      <c r="A52" s="29" t="s">
        <v>171</v>
      </c>
      <c r="B52" s="2"/>
      <c r="C52" s="3"/>
    </row>
  </sheetData>
  <mergeCells count="6">
    <mergeCell ref="A1:C1"/>
    <mergeCell ref="A2:C2"/>
    <mergeCell ref="A3:C3"/>
    <mergeCell ref="A4:C4"/>
    <mergeCell ref="A51:C51"/>
    <mergeCell ref="A52:C52"/>
  </mergeCells>
  <conditionalFormatting sqref="C1:C50">
    <cfRule type="containsText" dxfId="0" priority="1" operator="containsText" text="Enrolled">
      <formula>NOT(ISERROR(SEARCH(("Enrolled"),(C1))))</formula>
    </cfRule>
  </conditionalFormatting>
  <conditionalFormatting sqref="C1:C50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605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8" t="s">
        <v>610</v>
      </c>
      <c r="B3" s="9"/>
      <c r="C3" s="10"/>
      <c r="D3" s="7"/>
    </row>
    <row r="4">
      <c r="A4" s="11" t="s">
        <v>428</v>
      </c>
      <c r="B4" s="2"/>
      <c r="C4" s="3"/>
      <c r="D4" s="7"/>
    </row>
    <row r="5">
      <c r="A5" s="12" t="s">
        <v>11</v>
      </c>
      <c r="B5" s="12" t="s">
        <v>12</v>
      </c>
      <c r="C5" s="31" t="s">
        <v>13</v>
      </c>
      <c r="D5" s="7"/>
    </row>
    <row r="6">
      <c r="A6" s="16">
        <v>1.0</v>
      </c>
      <c r="B6" s="18" t="s">
        <v>622</v>
      </c>
      <c r="C6" s="24" t="s">
        <v>20</v>
      </c>
      <c r="D6" s="7"/>
    </row>
    <row r="7">
      <c r="A7" s="16">
        <v>2.0</v>
      </c>
      <c r="B7" s="18" t="s">
        <v>627</v>
      </c>
      <c r="C7" s="24" t="s">
        <v>16</v>
      </c>
      <c r="D7" s="7"/>
    </row>
    <row r="8">
      <c r="A8" s="16">
        <v>3.0</v>
      </c>
      <c r="B8" s="18" t="s">
        <v>630</v>
      </c>
      <c r="C8" s="24" t="s">
        <v>20</v>
      </c>
      <c r="D8" s="7"/>
    </row>
    <row r="9">
      <c r="A9" s="16">
        <v>4.0</v>
      </c>
      <c r="B9" s="18" t="s">
        <v>634</v>
      </c>
      <c r="C9" s="24" t="s">
        <v>16</v>
      </c>
      <c r="D9" s="7"/>
    </row>
    <row r="10">
      <c r="A10" s="16">
        <v>5.0</v>
      </c>
      <c r="B10" s="18" t="s">
        <v>638</v>
      </c>
      <c r="C10" s="24" t="s">
        <v>16</v>
      </c>
      <c r="D10" s="7"/>
    </row>
    <row r="11">
      <c r="A11" s="16">
        <v>6.0</v>
      </c>
      <c r="B11" s="18" t="s">
        <v>640</v>
      </c>
      <c r="C11" s="24" t="s">
        <v>16</v>
      </c>
      <c r="D11" s="7"/>
    </row>
    <row r="12">
      <c r="A12" s="16">
        <v>7.0</v>
      </c>
      <c r="B12" s="18" t="s">
        <v>644</v>
      </c>
      <c r="C12" s="24" t="s">
        <v>16</v>
      </c>
      <c r="D12" s="7"/>
    </row>
    <row r="13">
      <c r="A13" s="16">
        <v>8.0</v>
      </c>
      <c r="B13" s="18" t="s">
        <v>647</v>
      </c>
      <c r="C13" s="24" t="s">
        <v>16</v>
      </c>
      <c r="D13" s="7"/>
    </row>
    <row r="14">
      <c r="A14" s="16">
        <v>9.0</v>
      </c>
      <c r="B14" s="18" t="s">
        <v>650</v>
      </c>
      <c r="C14" s="24" t="s">
        <v>16</v>
      </c>
      <c r="D14" s="7"/>
    </row>
    <row r="15">
      <c r="A15" s="16">
        <v>10.0</v>
      </c>
      <c r="B15" s="18" t="s">
        <v>653</v>
      </c>
      <c r="C15" s="24" t="s">
        <v>16</v>
      </c>
      <c r="D15" s="7"/>
    </row>
    <row r="16">
      <c r="A16" s="16">
        <v>11.0</v>
      </c>
      <c r="B16" s="18" t="s">
        <v>657</v>
      </c>
      <c r="C16" s="24" t="s">
        <v>16</v>
      </c>
      <c r="D16" s="7"/>
    </row>
    <row r="17">
      <c r="A17" s="16">
        <v>12.0</v>
      </c>
      <c r="B17" s="18" t="s">
        <v>663</v>
      </c>
      <c r="C17" s="24" t="s">
        <v>16</v>
      </c>
      <c r="D17" s="7"/>
    </row>
    <row r="18">
      <c r="A18" s="16">
        <v>13.0</v>
      </c>
      <c r="B18" s="18" t="s">
        <v>667</v>
      </c>
      <c r="C18" s="24" t="s">
        <v>16</v>
      </c>
      <c r="D18" s="7"/>
    </row>
    <row r="19">
      <c r="A19" s="16">
        <v>14.0</v>
      </c>
      <c r="B19" s="18" t="s">
        <v>674</v>
      </c>
      <c r="C19" s="24" t="s">
        <v>16</v>
      </c>
      <c r="D19" s="7"/>
    </row>
    <row r="20">
      <c r="A20" s="16">
        <v>15.0</v>
      </c>
      <c r="B20" s="18" t="s">
        <v>680</v>
      </c>
      <c r="C20" s="24" t="s">
        <v>16</v>
      </c>
      <c r="D20" s="7"/>
    </row>
    <row r="21">
      <c r="A21" s="16">
        <v>16.0</v>
      </c>
      <c r="B21" s="18" t="s">
        <v>686</v>
      </c>
      <c r="C21" s="25" t="s">
        <v>16</v>
      </c>
      <c r="D21" s="7"/>
    </row>
    <row r="22">
      <c r="A22" s="16">
        <v>17.0</v>
      </c>
      <c r="B22" s="18" t="s">
        <v>689</v>
      </c>
      <c r="C22" s="24" t="s">
        <v>16</v>
      </c>
      <c r="D22" s="7"/>
    </row>
    <row r="23">
      <c r="A23" s="16">
        <v>18.0</v>
      </c>
      <c r="B23" s="18" t="s">
        <v>694</v>
      </c>
      <c r="C23" s="24" t="s">
        <v>16</v>
      </c>
      <c r="D23" s="7"/>
    </row>
    <row r="24">
      <c r="A24" s="16">
        <v>19.0</v>
      </c>
      <c r="B24" s="18" t="s">
        <v>697</v>
      </c>
      <c r="C24" s="24" t="s">
        <v>20</v>
      </c>
      <c r="D24" s="7"/>
    </row>
    <row r="25">
      <c r="A25" s="16">
        <v>20.0</v>
      </c>
      <c r="B25" s="18" t="s">
        <v>700</v>
      </c>
      <c r="C25" s="24" t="s">
        <v>16</v>
      </c>
      <c r="D25" s="7"/>
    </row>
    <row r="26">
      <c r="A26" s="16">
        <v>21.0</v>
      </c>
      <c r="B26" s="18" t="s">
        <v>703</v>
      </c>
      <c r="C26" s="24" t="s">
        <v>16</v>
      </c>
      <c r="D26" s="7"/>
    </row>
    <row r="27">
      <c r="A27" s="16">
        <v>22.0</v>
      </c>
      <c r="B27" s="18" t="s">
        <v>707</v>
      </c>
      <c r="C27" s="24" t="s">
        <v>20</v>
      </c>
      <c r="D27" s="7"/>
    </row>
    <row r="28">
      <c r="A28" s="16">
        <v>23.0</v>
      </c>
      <c r="B28" s="18" t="s">
        <v>712</v>
      </c>
      <c r="C28" s="24" t="s">
        <v>16</v>
      </c>
      <c r="D28" s="7"/>
    </row>
    <row r="29">
      <c r="A29" s="16">
        <v>24.0</v>
      </c>
      <c r="B29" s="18" t="s">
        <v>716</v>
      </c>
      <c r="C29" s="24" t="s">
        <v>16</v>
      </c>
      <c r="D29" s="7"/>
    </row>
    <row r="30">
      <c r="A30" s="16">
        <v>25.0</v>
      </c>
      <c r="B30" s="18" t="s">
        <v>720</v>
      </c>
      <c r="C30" s="24" t="s">
        <v>16</v>
      </c>
      <c r="D30" s="7"/>
    </row>
    <row r="31">
      <c r="A31" s="16">
        <v>26.0</v>
      </c>
      <c r="B31" s="18" t="s">
        <v>725</v>
      </c>
      <c r="C31" s="24" t="s">
        <v>16</v>
      </c>
      <c r="D31" s="7"/>
    </row>
    <row r="32">
      <c r="A32" s="16">
        <v>27.0</v>
      </c>
      <c r="B32" s="18" t="s">
        <v>728</v>
      </c>
      <c r="C32" s="24" t="s">
        <v>16</v>
      </c>
      <c r="D32" s="7"/>
    </row>
    <row r="33">
      <c r="A33" s="16">
        <v>28.0</v>
      </c>
      <c r="B33" s="18" t="s">
        <v>732</v>
      </c>
      <c r="C33" s="24" t="s">
        <v>16</v>
      </c>
      <c r="D33" s="7"/>
    </row>
    <row r="34">
      <c r="A34" s="16">
        <v>29.0</v>
      </c>
      <c r="B34" s="18" t="s">
        <v>735</v>
      </c>
      <c r="C34" s="24" t="s">
        <v>16</v>
      </c>
      <c r="D34" s="7"/>
    </row>
    <row r="35">
      <c r="A35" s="16">
        <v>30.0</v>
      </c>
      <c r="B35" s="18" t="s">
        <v>737</v>
      </c>
      <c r="C35" s="24" t="s">
        <v>16</v>
      </c>
      <c r="D35" s="7"/>
    </row>
    <row r="36">
      <c r="A36" s="16">
        <v>31.0</v>
      </c>
      <c r="B36" s="18" t="s">
        <v>739</v>
      </c>
      <c r="C36" s="24" t="s">
        <v>16</v>
      </c>
      <c r="D36" s="7"/>
    </row>
    <row r="37">
      <c r="A37" s="16">
        <v>32.0</v>
      </c>
      <c r="B37" s="18" t="s">
        <v>742</v>
      </c>
      <c r="C37" s="24" t="s">
        <v>16</v>
      </c>
      <c r="D37" s="7"/>
    </row>
    <row r="38">
      <c r="A38" s="16">
        <v>33.0</v>
      </c>
      <c r="B38" s="18" t="s">
        <v>745</v>
      </c>
      <c r="C38" s="24" t="s">
        <v>16</v>
      </c>
      <c r="D38" s="7"/>
    </row>
    <row r="39">
      <c r="A39" s="16">
        <v>34.0</v>
      </c>
      <c r="B39" s="18" t="s">
        <v>748</v>
      </c>
      <c r="C39" s="25" t="s">
        <v>16</v>
      </c>
      <c r="D39" s="7"/>
    </row>
    <row r="40">
      <c r="A40" s="16">
        <v>35.0</v>
      </c>
      <c r="B40" s="18" t="s">
        <v>752</v>
      </c>
      <c r="C40" s="24" t="s">
        <v>16</v>
      </c>
      <c r="D40" s="7"/>
    </row>
    <row r="41">
      <c r="A41" s="16">
        <v>36.0</v>
      </c>
      <c r="B41" s="18" t="s">
        <v>757</v>
      </c>
      <c r="C41" s="24" t="s">
        <v>20</v>
      </c>
      <c r="D41" s="7"/>
    </row>
    <row r="42">
      <c r="A42" s="16">
        <v>37.0</v>
      </c>
      <c r="B42" s="18" t="s">
        <v>763</v>
      </c>
      <c r="C42" s="24" t="s">
        <v>16</v>
      </c>
      <c r="D42" s="7"/>
    </row>
    <row r="43">
      <c r="A43" s="16">
        <v>38.0</v>
      </c>
      <c r="B43" s="18" t="s">
        <v>768</v>
      </c>
      <c r="C43" s="24" t="s">
        <v>20</v>
      </c>
      <c r="D43" s="7"/>
    </row>
    <row r="44">
      <c r="A44" s="16">
        <v>39.0</v>
      </c>
      <c r="B44" s="18" t="s">
        <v>770</v>
      </c>
      <c r="C44" s="24" t="s">
        <v>16</v>
      </c>
      <c r="D44" s="7"/>
    </row>
    <row r="45">
      <c r="A45" s="16">
        <v>40.0</v>
      </c>
      <c r="B45" s="18" t="s">
        <v>772</v>
      </c>
      <c r="C45" s="21" t="s">
        <v>16</v>
      </c>
      <c r="D45" s="7"/>
    </row>
    <row r="46">
      <c r="A46" s="16">
        <v>41.0</v>
      </c>
      <c r="B46" s="18" t="s">
        <v>775</v>
      </c>
      <c r="C46" s="21" t="s">
        <v>16</v>
      </c>
      <c r="D46" s="7"/>
    </row>
    <row r="47">
      <c r="A47" s="16">
        <v>42.0</v>
      </c>
      <c r="B47" s="18" t="s">
        <v>780</v>
      </c>
      <c r="C47" s="21" t="s">
        <v>16</v>
      </c>
      <c r="D47" s="7"/>
    </row>
    <row r="48">
      <c r="A48" s="16">
        <v>43.0</v>
      </c>
      <c r="B48" s="18" t="s">
        <v>782</v>
      </c>
      <c r="C48" s="21" t="s">
        <v>16</v>
      </c>
      <c r="D48" s="7"/>
    </row>
    <row r="49">
      <c r="A49" s="16">
        <v>44.0</v>
      </c>
      <c r="B49" s="18" t="s">
        <v>790</v>
      </c>
      <c r="C49" s="21" t="s">
        <v>20</v>
      </c>
      <c r="D49" s="7"/>
    </row>
    <row r="50">
      <c r="A50" s="16">
        <v>45.0</v>
      </c>
      <c r="B50" s="18" t="s">
        <v>793</v>
      </c>
      <c r="C50" s="21" t="s">
        <v>16</v>
      </c>
      <c r="D50" s="7"/>
    </row>
    <row r="51">
      <c r="A51" s="28" t="s">
        <v>167</v>
      </c>
      <c r="B51" s="2"/>
      <c r="C51" s="3"/>
      <c r="D51" s="7"/>
    </row>
    <row r="52">
      <c r="A52" s="29" t="s">
        <v>171</v>
      </c>
      <c r="B52" s="2"/>
      <c r="C52" s="3"/>
      <c r="D52" s="30"/>
    </row>
  </sheetData>
  <mergeCells count="7">
    <mergeCell ref="A1:C1"/>
    <mergeCell ref="D1:D52"/>
    <mergeCell ref="A2:C2"/>
    <mergeCell ref="A3:C3"/>
    <mergeCell ref="A4:C4"/>
    <mergeCell ref="A51:C51"/>
    <mergeCell ref="A52:C52"/>
  </mergeCells>
  <conditionalFormatting sqref="D1:D50 C5:C50">
    <cfRule type="containsText" dxfId="0" priority="1" operator="containsText" text="Enrolled">
      <formula>NOT(ISERROR(SEARCH(("Enrolled"),(D1))))</formula>
    </cfRule>
  </conditionalFormatting>
  <conditionalFormatting sqref="D1:D50 C5:C50">
    <cfRule type="containsText" dxfId="1" priority="2" operator="containsText" text="Enlisted">
      <formula>NOT(ISERROR(SEARCH(("Enlisted"),(D1))))</formula>
    </cfRule>
  </conditionalFormatting>
  <hyperlinks>
    <hyperlink r:id="rId1" ref="A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607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8" t="s">
        <v>611</v>
      </c>
      <c r="B3" s="9"/>
      <c r="C3" s="10"/>
      <c r="D3" s="7"/>
    </row>
    <row r="4">
      <c r="A4" s="11" t="s">
        <v>8</v>
      </c>
      <c r="B4" s="2"/>
      <c r="C4" s="3"/>
      <c r="D4" s="7"/>
    </row>
    <row r="5">
      <c r="A5" s="12" t="s">
        <v>11</v>
      </c>
      <c r="B5" s="12" t="s">
        <v>12</v>
      </c>
      <c r="C5" s="31" t="s">
        <v>13</v>
      </c>
      <c r="D5" s="7"/>
    </row>
    <row r="6">
      <c r="A6" s="16">
        <v>1.0</v>
      </c>
      <c r="B6" s="18" t="s">
        <v>617</v>
      </c>
      <c r="C6" s="24" t="s">
        <v>16</v>
      </c>
      <c r="D6" s="7"/>
    </row>
    <row r="7">
      <c r="A7" s="16">
        <v>2.0</v>
      </c>
      <c r="B7" s="18" t="s">
        <v>619</v>
      </c>
      <c r="C7" s="24" t="s">
        <v>16</v>
      </c>
      <c r="D7" s="7"/>
    </row>
    <row r="8">
      <c r="A8" s="16">
        <v>3.0</v>
      </c>
      <c r="B8" s="18" t="s">
        <v>620</v>
      </c>
      <c r="C8" s="24" t="s">
        <v>16</v>
      </c>
      <c r="D8" s="7"/>
    </row>
    <row r="9">
      <c r="A9" s="16">
        <v>4.0</v>
      </c>
      <c r="B9" s="18" t="s">
        <v>624</v>
      </c>
      <c r="C9" s="24" t="s">
        <v>16</v>
      </c>
      <c r="D9" s="7"/>
    </row>
    <row r="10">
      <c r="A10" s="16">
        <v>5.0</v>
      </c>
      <c r="B10" s="18" t="s">
        <v>626</v>
      </c>
      <c r="C10" s="24" t="s">
        <v>16</v>
      </c>
      <c r="D10" s="7"/>
    </row>
    <row r="11">
      <c r="A11" s="16">
        <v>6.0</v>
      </c>
      <c r="B11" s="18" t="s">
        <v>629</v>
      </c>
      <c r="C11" s="24" t="s">
        <v>16</v>
      </c>
      <c r="D11" s="7"/>
    </row>
    <row r="12">
      <c r="A12" s="16">
        <v>7.0</v>
      </c>
      <c r="B12" s="18" t="s">
        <v>631</v>
      </c>
      <c r="C12" s="24" t="s">
        <v>16</v>
      </c>
      <c r="D12" s="7"/>
    </row>
    <row r="13">
      <c r="A13" s="16">
        <v>8.0</v>
      </c>
      <c r="B13" s="18" t="s">
        <v>633</v>
      </c>
      <c r="C13" s="24" t="s">
        <v>16</v>
      </c>
      <c r="D13" s="7"/>
    </row>
    <row r="14">
      <c r="A14" s="16">
        <v>9.0</v>
      </c>
      <c r="B14" s="18" t="s">
        <v>636</v>
      </c>
      <c r="C14" s="24" t="s">
        <v>16</v>
      </c>
      <c r="D14" s="7"/>
    </row>
    <row r="15">
      <c r="A15" s="16">
        <v>10.0</v>
      </c>
      <c r="B15" s="18" t="s">
        <v>641</v>
      </c>
      <c r="C15" s="24" t="s">
        <v>16</v>
      </c>
      <c r="D15" s="7"/>
    </row>
    <row r="16">
      <c r="A16" s="16">
        <v>11.0</v>
      </c>
      <c r="B16" s="18" t="s">
        <v>643</v>
      </c>
      <c r="C16" s="24" t="s">
        <v>16</v>
      </c>
      <c r="D16" s="7"/>
    </row>
    <row r="17">
      <c r="A17" s="16">
        <v>12.0</v>
      </c>
      <c r="B17" s="18" t="s">
        <v>645</v>
      </c>
      <c r="C17" s="24" t="s">
        <v>16</v>
      </c>
      <c r="D17" s="7"/>
    </row>
    <row r="18">
      <c r="A18" s="16">
        <v>13.0</v>
      </c>
      <c r="B18" s="18" t="s">
        <v>648</v>
      </c>
      <c r="C18" s="24" t="s">
        <v>16</v>
      </c>
      <c r="D18" s="7"/>
    </row>
    <row r="19">
      <c r="A19" s="16">
        <v>14.0</v>
      </c>
      <c r="B19" s="18" t="s">
        <v>649</v>
      </c>
      <c r="C19" s="24" t="s">
        <v>16</v>
      </c>
      <c r="D19" s="7"/>
    </row>
    <row r="20">
      <c r="A20" s="16">
        <v>15.0</v>
      </c>
      <c r="B20" s="18" t="s">
        <v>651</v>
      </c>
      <c r="C20" s="24" t="s">
        <v>16</v>
      </c>
      <c r="D20" s="7"/>
    </row>
    <row r="21">
      <c r="A21" s="16">
        <v>16.0</v>
      </c>
      <c r="B21" s="18" t="s">
        <v>654</v>
      </c>
      <c r="C21" s="25" t="s">
        <v>16</v>
      </c>
      <c r="D21" s="7"/>
    </row>
    <row r="22">
      <c r="A22" s="16">
        <v>17.0</v>
      </c>
      <c r="B22" s="18" t="s">
        <v>658</v>
      </c>
      <c r="C22" s="24" t="s">
        <v>16</v>
      </c>
      <c r="D22" s="7"/>
    </row>
    <row r="23">
      <c r="A23" s="16">
        <v>18.0</v>
      </c>
      <c r="B23" s="18" t="s">
        <v>661</v>
      </c>
      <c r="C23" s="24" t="s">
        <v>16</v>
      </c>
      <c r="D23" s="7"/>
    </row>
    <row r="24">
      <c r="A24" s="16">
        <v>19.0</v>
      </c>
      <c r="B24" s="18" t="s">
        <v>664</v>
      </c>
      <c r="C24" s="24" t="s">
        <v>16</v>
      </c>
      <c r="D24" s="7"/>
    </row>
    <row r="25">
      <c r="A25" s="16">
        <v>20.0</v>
      </c>
      <c r="B25" s="18" t="s">
        <v>668</v>
      </c>
      <c r="C25" s="24" t="s">
        <v>16</v>
      </c>
      <c r="D25" s="7"/>
    </row>
    <row r="26">
      <c r="A26" s="16">
        <v>21.0</v>
      </c>
      <c r="B26" s="18" t="s">
        <v>672</v>
      </c>
      <c r="C26" s="24" t="s">
        <v>16</v>
      </c>
      <c r="D26" s="7"/>
    </row>
    <row r="27">
      <c r="A27" s="16">
        <v>22.0</v>
      </c>
      <c r="B27" s="18" t="s">
        <v>676</v>
      </c>
      <c r="C27" s="24" t="s">
        <v>16</v>
      </c>
      <c r="D27" s="7"/>
    </row>
    <row r="28">
      <c r="A28" s="16">
        <v>23.0</v>
      </c>
      <c r="B28" s="18" t="s">
        <v>679</v>
      </c>
      <c r="C28" s="24" t="s">
        <v>16</v>
      </c>
      <c r="D28" s="7"/>
    </row>
    <row r="29">
      <c r="A29" s="16">
        <v>24.0</v>
      </c>
      <c r="B29" s="18" t="s">
        <v>682</v>
      </c>
      <c r="C29" s="24" t="s">
        <v>16</v>
      </c>
      <c r="D29" s="7"/>
    </row>
    <row r="30">
      <c r="A30" s="16">
        <v>25.0</v>
      </c>
      <c r="B30" s="18" t="s">
        <v>685</v>
      </c>
      <c r="C30" s="24" t="s">
        <v>16</v>
      </c>
      <c r="D30" s="7"/>
    </row>
    <row r="31">
      <c r="A31" s="16">
        <v>26.0</v>
      </c>
      <c r="B31" s="18" t="s">
        <v>687</v>
      </c>
      <c r="C31" s="24" t="s">
        <v>16</v>
      </c>
      <c r="D31" s="7"/>
    </row>
    <row r="32">
      <c r="A32" s="16">
        <v>27.0</v>
      </c>
      <c r="B32" s="18" t="s">
        <v>691</v>
      </c>
      <c r="C32" s="24" t="s">
        <v>16</v>
      </c>
      <c r="D32" s="7"/>
    </row>
    <row r="33">
      <c r="A33" s="16">
        <v>28.0</v>
      </c>
      <c r="B33" s="18" t="s">
        <v>693</v>
      </c>
      <c r="C33" s="24" t="s">
        <v>16</v>
      </c>
      <c r="D33" s="7"/>
    </row>
    <row r="34">
      <c r="A34" s="16">
        <v>29.0</v>
      </c>
      <c r="B34" s="18" t="s">
        <v>695</v>
      </c>
      <c r="C34" s="24" t="s">
        <v>16</v>
      </c>
      <c r="D34" s="7"/>
    </row>
    <row r="35">
      <c r="A35" s="16">
        <v>30.0</v>
      </c>
      <c r="B35" s="18" t="s">
        <v>698</v>
      </c>
      <c r="C35" s="24" t="s">
        <v>16</v>
      </c>
      <c r="D35" s="7"/>
    </row>
    <row r="36">
      <c r="A36" s="16">
        <v>31.0</v>
      </c>
      <c r="B36" s="18" t="s">
        <v>701</v>
      </c>
      <c r="C36" s="24" t="s">
        <v>16</v>
      </c>
      <c r="D36" s="7"/>
    </row>
    <row r="37">
      <c r="A37" s="16">
        <v>32.0</v>
      </c>
      <c r="B37" s="18" t="s">
        <v>704</v>
      </c>
      <c r="C37" s="24" t="s">
        <v>20</v>
      </c>
      <c r="D37" s="7"/>
    </row>
    <row r="38">
      <c r="A38" s="16">
        <v>33.0</v>
      </c>
      <c r="B38" s="18" t="s">
        <v>706</v>
      </c>
      <c r="C38" s="24" t="s">
        <v>20</v>
      </c>
      <c r="D38" s="7"/>
    </row>
    <row r="39">
      <c r="A39" s="16">
        <v>34.0</v>
      </c>
      <c r="B39" s="18" t="s">
        <v>709</v>
      </c>
      <c r="C39" s="25" t="s">
        <v>16</v>
      </c>
      <c r="D39" s="7"/>
    </row>
    <row r="40">
      <c r="A40" s="16">
        <v>35.0</v>
      </c>
      <c r="B40" s="18" t="s">
        <v>711</v>
      </c>
      <c r="C40" s="24" t="s">
        <v>16</v>
      </c>
      <c r="D40" s="7"/>
    </row>
    <row r="41">
      <c r="A41" s="16">
        <v>36.0</v>
      </c>
      <c r="B41" s="18" t="s">
        <v>714</v>
      </c>
      <c r="C41" s="24" t="s">
        <v>16</v>
      </c>
      <c r="D41" s="7"/>
    </row>
    <row r="42">
      <c r="A42" s="16">
        <v>37.0</v>
      </c>
      <c r="B42" s="18" t="s">
        <v>717</v>
      </c>
      <c r="C42" s="24" t="s">
        <v>16</v>
      </c>
      <c r="D42" s="7"/>
    </row>
    <row r="43">
      <c r="A43" s="16">
        <v>38.0</v>
      </c>
      <c r="B43" s="18" t="s">
        <v>721</v>
      </c>
      <c r="C43" s="24" t="s">
        <v>16</v>
      </c>
      <c r="D43" s="7"/>
    </row>
    <row r="44">
      <c r="A44" s="16">
        <v>39.0</v>
      </c>
      <c r="B44" s="18" t="s">
        <v>723</v>
      </c>
      <c r="C44" s="37" t="s">
        <v>16</v>
      </c>
      <c r="D44" s="7"/>
    </row>
    <row r="45">
      <c r="A45" s="16">
        <v>40.0</v>
      </c>
      <c r="B45" s="18" t="s">
        <v>726</v>
      </c>
      <c r="C45" s="38" t="s">
        <v>16</v>
      </c>
      <c r="D45" s="7"/>
    </row>
    <row r="46">
      <c r="A46" s="16">
        <v>41.0</v>
      </c>
      <c r="B46" s="18" t="s">
        <v>730</v>
      </c>
      <c r="C46" s="38" t="s">
        <v>16</v>
      </c>
      <c r="D46" s="7"/>
    </row>
    <row r="47">
      <c r="A47" s="16">
        <v>42.0</v>
      </c>
      <c r="B47" s="18" t="s">
        <v>734</v>
      </c>
      <c r="C47" s="38" t="s">
        <v>16</v>
      </c>
      <c r="D47" s="7"/>
    </row>
    <row r="48">
      <c r="A48" s="16">
        <v>43.0</v>
      </c>
      <c r="B48" s="18" t="s">
        <v>738</v>
      </c>
      <c r="C48" s="38" t="s">
        <v>16</v>
      </c>
      <c r="D48" s="7"/>
    </row>
    <row r="49">
      <c r="A49" s="16">
        <v>44.0</v>
      </c>
      <c r="B49" s="18" t="s">
        <v>741</v>
      </c>
      <c r="C49" s="38" t="s">
        <v>20</v>
      </c>
      <c r="D49" s="7"/>
    </row>
    <row r="50">
      <c r="A50" s="16">
        <v>45.0</v>
      </c>
      <c r="B50" s="18" t="s">
        <v>744</v>
      </c>
      <c r="C50" s="38" t="s">
        <v>16</v>
      </c>
      <c r="D50" s="7"/>
    </row>
    <row r="51">
      <c r="A51" s="16">
        <v>46.0</v>
      </c>
      <c r="B51" s="18" t="s">
        <v>747</v>
      </c>
      <c r="C51" s="38" t="s">
        <v>16</v>
      </c>
      <c r="D51" s="7"/>
    </row>
    <row r="52">
      <c r="A52" s="16">
        <v>47.0</v>
      </c>
      <c r="B52" s="18" t="s">
        <v>750</v>
      </c>
      <c r="C52" s="38" t="s">
        <v>16</v>
      </c>
      <c r="D52" s="7"/>
    </row>
    <row r="53">
      <c r="A53" s="16">
        <v>48.0</v>
      </c>
      <c r="B53" s="18" t="s">
        <v>754</v>
      </c>
      <c r="C53" s="38" t="s">
        <v>16</v>
      </c>
      <c r="D53" s="7"/>
    </row>
    <row r="54">
      <c r="A54" s="16">
        <v>49.0</v>
      </c>
      <c r="B54" s="18" t="s">
        <v>758</v>
      </c>
      <c r="C54" s="38" t="s">
        <v>16</v>
      </c>
      <c r="D54" s="7"/>
    </row>
    <row r="55">
      <c r="A55" s="16">
        <v>50.0</v>
      </c>
      <c r="B55" s="18" t="s">
        <v>762</v>
      </c>
      <c r="C55" s="38" t="s">
        <v>16</v>
      </c>
      <c r="D55" s="7"/>
    </row>
    <row r="56">
      <c r="A56" s="16">
        <v>51.0</v>
      </c>
      <c r="B56" s="18" t="s">
        <v>766</v>
      </c>
      <c r="C56" s="38" t="s">
        <v>16</v>
      </c>
      <c r="D56" s="7"/>
    </row>
    <row r="57">
      <c r="A57" s="28" t="s">
        <v>167</v>
      </c>
      <c r="B57" s="2"/>
      <c r="C57" s="3"/>
      <c r="D57" s="7"/>
    </row>
    <row r="58">
      <c r="A58" s="29" t="s">
        <v>171</v>
      </c>
      <c r="B58" s="2"/>
      <c r="C58" s="3"/>
      <c r="D58" s="30"/>
    </row>
  </sheetData>
  <mergeCells count="7">
    <mergeCell ref="A1:C1"/>
    <mergeCell ref="D1:D58"/>
    <mergeCell ref="A2:C2"/>
    <mergeCell ref="A3:C3"/>
    <mergeCell ref="A4:C4"/>
    <mergeCell ref="A57:C57"/>
    <mergeCell ref="A58:C58"/>
  </mergeCells>
  <conditionalFormatting sqref="D1:D56 C5:C56">
    <cfRule type="containsText" dxfId="0" priority="1" operator="containsText" text="Enrolled">
      <formula>NOT(ISERROR(SEARCH(("Enrolled"),(D1))))</formula>
    </cfRule>
  </conditionalFormatting>
  <conditionalFormatting sqref="D1:D56 C5:C56">
    <cfRule type="containsText" dxfId="1" priority="2" operator="containsText" text="Enlisted">
      <formula>NOT(ISERROR(SEARCH(("Enlisted"),(D1))))</formula>
    </cfRule>
  </conditionalFormatting>
  <hyperlinks>
    <hyperlink r:id="rId1" ref="A3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623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8" t="s">
        <v>637</v>
      </c>
      <c r="B3" s="9"/>
      <c r="C3" s="10"/>
      <c r="D3" s="7"/>
    </row>
    <row r="4">
      <c r="A4" s="11" t="s">
        <v>15</v>
      </c>
      <c r="B4" s="2"/>
      <c r="C4" s="3"/>
      <c r="D4" s="7"/>
    </row>
    <row r="5">
      <c r="A5" s="12" t="s">
        <v>11</v>
      </c>
      <c r="B5" s="12" t="s">
        <v>12</v>
      </c>
      <c r="C5" s="31" t="s">
        <v>13</v>
      </c>
      <c r="D5" s="7"/>
    </row>
    <row r="6">
      <c r="A6" s="16">
        <v>1.0</v>
      </c>
      <c r="B6" s="18" t="s">
        <v>652</v>
      </c>
      <c r="C6" s="24" t="s">
        <v>16</v>
      </c>
      <c r="D6" s="7"/>
    </row>
    <row r="7">
      <c r="A7" s="16">
        <v>2.0</v>
      </c>
      <c r="B7" s="18" t="s">
        <v>655</v>
      </c>
      <c r="C7" s="24" t="s">
        <v>16</v>
      </c>
      <c r="D7" s="7"/>
    </row>
    <row r="8">
      <c r="A8" s="16">
        <v>3.0</v>
      </c>
      <c r="B8" s="18" t="s">
        <v>659</v>
      </c>
      <c r="C8" s="24" t="s">
        <v>16</v>
      </c>
      <c r="D8" s="7"/>
    </row>
    <row r="9">
      <c r="A9" s="16">
        <v>4.0</v>
      </c>
      <c r="B9" s="18" t="s">
        <v>662</v>
      </c>
      <c r="C9" s="24" t="s">
        <v>16</v>
      </c>
      <c r="D9" s="7"/>
    </row>
    <row r="10">
      <c r="A10" s="16">
        <v>5.0</v>
      </c>
      <c r="B10" s="18" t="s">
        <v>665</v>
      </c>
      <c r="C10" s="24" t="s">
        <v>16</v>
      </c>
      <c r="D10" s="7"/>
    </row>
    <row r="11">
      <c r="A11" s="16">
        <v>6.0</v>
      </c>
      <c r="B11" s="18" t="s">
        <v>669</v>
      </c>
      <c r="C11" s="24" t="s">
        <v>16</v>
      </c>
      <c r="D11" s="7"/>
    </row>
    <row r="12">
      <c r="A12" s="16">
        <v>7.0</v>
      </c>
      <c r="B12" s="18" t="s">
        <v>671</v>
      </c>
      <c r="C12" s="24" t="s">
        <v>16</v>
      </c>
      <c r="D12" s="7"/>
    </row>
    <row r="13">
      <c r="A13" s="16">
        <v>8.0</v>
      </c>
      <c r="B13" s="18" t="s">
        <v>675</v>
      </c>
      <c r="C13" s="24" t="s">
        <v>16</v>
      </c>
      <c r="D13" s="7"/>
    </row>
    <row r="14">
      <c r="A14" s="16">
        <v>9.0</v>
      </c>
      <c r="B14" s="18" t="s">
        <v>677</v>
      </c>
      <c r="C14" s="24" t="s">
        <v>16</v>
      </c>
      <c r="D14" s="7"/>
    </row>
    <row r="15">
      <c r="A15" s="16">
        <v>10.0</v>
      </c>
      <c r="B15" s="18" t="s">
        <v>681</v>
      </c>
      <c r="C15" s="24" t="s">
        <v>16</v>
      </c>
      <c r="D15" s="7"/>
    </row>
    <row r="16">
      <c r="A16" s="16">
        <v>11.0</v>
      </c>
      <c r="B16" s="18" t="s">
        <v>684</v>
      </c>
      <c r="C16" s="24" t="s">
        <v>16</v>
      </c>
      <c r="D16" s="7"/>
    </row>
    <row r="17">
      <c r="A17" s="16">
        <v>12.0</v>
      </c>
      <c r="B17" s="18" t="s">
        <v>688</v>
      </c>
      <c r="C17" s="24" t="s">
        <v>16</v>
      </c>
      <c r="D17" s="7"/>
    </row>
    <row r="18">
      <c r="A18" s="16">
        <v>13.0</v>
      </c>
      <c r="B18" s="18" t="s">
        <v>692</v>
      </c>
      <c r="C18" s="24" t="s">
        <v>16</v>
      </c>
      <c r="D18" s="7"/>
    </row>
    <row r="19">
      <c r="A19" s="16">
        <v>14.0</v>
      </c>
      <c r="B19" s="18" t="s">
        <v>696</v>
      </c>
      <c r="C19" s="24" t="s">
        <v>16</v>
      </c>
      <c r="D19" s="7"/>
    </row>
    <row r="20">
      <c r="A20" s="16">
        <v>15.0</v>
      </c>
      <c r="B20" s="18" t="s">
        <v>699</v>
      </c>
      <c r="C20" s="24" t="s">
        <v>16</v>
      </c>
      <c r="D20" s="7"/>
    </row>
    <row r="21">
      <c r="A21" s="16">
        <v>16.0</v>
      </c>
      <c r="B21" s="18" t="s">
        <v>702</v>
      </c>
      <c r="C21" s="25" t="s">
        <v>16</v>
      </c>
      <c r="D21" s="7"/>
    </row>
    <row r="22">
      <c r="A22" s="16">
        <v>17.0</v>
      </c>
      <c r="B22" s="18" t="s">
        <v>705</v>
      </c>
      <c r="C22" s="24" t="s">
        <v>16</v>
      </c>
      <c r="D22" s="7"/>
    </row>
    <row r="23">
      <c r="A23" s="16">
        <v>18.0</v>
      </c>
      <c r="B23" s="18" t="s">
        <v>708</v>
      </c>
      <c r="C23" s="24" t="s">
        <v>16</v>
      </c>
      <c r="D23" s="7"/>
    </row>
    <row r="24">
      <c r="A24" s="16">
        <v>19.0</v>
      </c>
      <c r="B24" s="18" t="s">
        <v>710</v>
      </c>
      <c r="C24" s="24" t="s">
        <v>20</v>
      </c>
      <c r="D24" s="7"/>
    </row>
    <row r="25">
      <c r="A25" s="16">
        <v>20.0</v>
      </c>
      <c r="B25" s="18" t="s">
        <v>713</v>
      </c>
      <c r="C25" s="24" t="s">
        <v>16</v>
      </c>
      <c r="D25" s="7"/>
    </row>
    <row r="26">
      <c r="A26" s="16">
        <v>21.0</v>
      </c>
      <c r="B26" s="18" t="s">
        <v>715</v>
      </c>
      <c r="C26" s="24" t="s">
        <v>16</v>
      </c>
      <c r="D26" s="7"/>
    </row>
    <row r="27">
      <c r="A27" s="16">
        <v>22.0</v>
      </c>
      <c r="B27" s="18" t="s">
        <v>718</v>
      </c>
      <c r="C27" s="24" t="s">
        <v>16</v>
      </c>
      <c r="D27" s="7"/>
    </row>
    <row r="28">
      <c r="A28" s="16">
        <v>23.0</v>
      </c>
      <c r="B28" s="18" t="s">
        <v>722</v>
      </c>
      <c r="C28" s="24" t="s">
        <v>20</v>
      </c>
      <c r="D28" s="7"/>
    </row>
    <row r="29">
      <c r="A29" s="16">
        <v>24.0</v>
      </c>
      <c r="B29" s="18" t="s">
        <v>724</v>
      </c>
      <c r="C29" s="24" t="s">
        <v>16</v>
      </c>
      <c r="D29" s="7"/>
    </row>
    <row r="30">
      <c r="A30" s="16">
        <v>25.0</v>
      </c>
      <c r="B30" s="18" t="s">
        <v>727</v>
      </c>
      <c r="C30" s="24" t="s">
        <v>16</v>
      </c>
      <c r="D30" s="7"/>
    </row>
    <row r="31">
      <c r="A31" s="16">
        <v>26.0</v>
      </c>
      <c r="B31" s="18" t="s">
        <v>729</v>
      </c>
      <c r="C31" s="24" t="s">
        <v>16</v>
      </c>
      <c r="D31" s="7"/>
    </row>
    <row r="32">
      <c r="A32" s="16">
        <v>27.0</v>
      </c>
      <c r="B32" s="18" t="s">
        <v>733</v>
      </c>
      <c r="C32" s="24" t="s">
        <v>16</v>
      </c>
      <c r="D32" s="7"/>
    </row>
    <row r="33">
      <c r="A33" s="16">
        <v>28.0</v>
      </c>
      <c r="B33" s="18" t="s">
        <v>736</v>
      </c>
      <c r="C33" s="24" t="s">
        <v>16</v>
      </c>
      <c r="D33" s="7"/>
    </row>
    <row r="34">
      <c r="A34" s="16">
        <v>29.0</v>
      </c>
      <c r="B34" s="18" t="s">
        <v>740</v>
      </c>
      <c r="C34" s="24" t="s">
        <v>16</v>
      </c>
      <c r="D34" s="7"/>
    </row>
    <row r="35">
      <c r="A35" s="16">
        <v>30.0</v>
      </c>
      <c r="B35" s="18" t="s">
        <v>743</v>
      </c>
      <c r="C35" s="24" t="s">
        <v>20</v>
      </c>
      <c r="D35" s="7"/>
    </row>
    <row r="36">
      <c r="A36" s="16">
        <v>31.0</v>
      </c>
      <c r="B36" s="18" t="s">
        <v>746</v>
      </c>
      <c r="C36" s="24" t="s">
        <v>16</v>
      </c>
      <c r="D36" s="7"/>
    </row>
    <row r="37">
      <c r="A37" s="16">
        <v>32.0</v>
      </c>
      <c r="B37" s="18" t="s">
        <v>749</v>
      </c>
      <c r="C37" s="24" t="s">
        <v>16</v>
      </c>
      <c r="D37" s="7"/>
    </row>
    <row r="38">
      <c r="A38" s="16">
        <v>33.0</v>
      </c>
      <c r="B38" s="18" t="s">
        <v>753</v>
      </c>
      <c r="C38" s="24" t="s">
        <v>16</v>
      </c>
      <c r="D38" s="7"/>
    </row>
    <row r="39">
      <c r="A39" s="16">
        <v>34.0</v>
      </c>
      <c r="B39" s="18" t="s">
        <v>756</v>
      </c>
      <c r="C39" s="25" t="s">
        <v>16</v>
      </c>
      <c r="D39" s="7"/>
    </row>
    <row r="40">
      <c r="A40" s="16">
        <v>35.0</v>
      </c>
      <c r="B40" s="18" t="s">
        <v>761</v>
      </c>
      <c r="C40" s="24" t="s">
        <v>16</v>
      </c>
      <c r="D40" s="7"/>
    </row>
    <row r="41">
      <c r="A41" s="16">
        <v>36.0</v>
      </c>
      <c r="B41" s="18" t="s">
        <v>765</v>
      </c>
      <c r="C41" s="24" t="s">
        <v>16</v>
      </c>
      <c r="D41" s="7"/>
    </row>
    <row r="42">
      <c r="A42" s="16">
        <v>37.0</v>
      </c>
      <c r="B42" s="18" t="s">
        <v>771</v>
      </c>
      <c r="C42" s="24" t="s">
        <v>16</v>
      </c>
      <c r="D42" s="7"/>
    </row>
    <row r="43">
      <c r="A43" s="16">
        <v>38.0</v>
      </c>
      <c r="B43" s="18" t="s">
        <v>776</v>
      </c>
      <c r="C43" s="24" t="s">
        <v>16</v>
      </c>
      <c r="D43" s="7"/>
    </row>
    <row r="44">
      <c r="A44" s="16">
        <v>39.0</v>
      </c>
      <c r="B44" s="18" t="s">
        <v>778</v>
      </c>
      <c r="C44" s="24" t="s">
        <v>16</v>
      </c>
      <c r="D44" s="7"/>
    </row>
    <row r="45">
      <c r="A45" s="16">
        <v>40.0</v>
      </c>
      <c r="B45" s="18" t="s">
        <v>781</v>
      </c>
      <c r="C45" s="21" t="s">
        <v>16</v>
      </c>
      <c r="D45" s="7"/>
    </row>
    <row r="46">
      <c r="A46" s="16">
        <v>41.0</v>
      </c>
      <c r="B46" s="18" t="s">
        <v>783</v>
      </c>
      <c r="C46" s="21" t="s">
        <v>16</v>
      </c>
      <c r="D46" s="7"/>
    </row>
    <row r="47">
      <c r="A47" s="16">
        <v>42.0</v>
      </c>
      <c r="B47" s="18" t="s">
        <v>785</v>
      </c>
      <c r="C47" s="21" t="s">
        <v>16</v>
      </c>
      <c r="D47" s="7"/>
    </row>
    <row r="48">
      <c r="A48" s="16">
        <v>43.0</v>
      </c>
      <c r="B48" s="18" t="s">
        <v>787</v>
      </c>
      <c r="C48" s="21" t="s">
        <v>16</v>
      </c>
      <c r="D48" s="7"/>
    </row>
    <row r="49">
      <c r="A49" s="16">
        <v>44.0</v>
      </c>
      <c r="B49" s="18" t="s">
        <v>789</v>
      </c>
      <c r="C49" s="21" t="s">
        <v>16</v>
      </c>
      <c r="D49" s="7"/>
    </row>
    <row r="50">
      <c r="A50" s="16">
        <v>45.0</v>
      </c>
      <c r="B50" s="18" t="s">
        <v>792</v>
      </c>
      <c r="C50" s="21" t="s">
        <v>20</v>
      </c>
      <c r="D50" s="7"/>
    </row>
    <row r="51">
      <c r="A51" s="16">
        <v>46.0</v>
      </c>
      <c r="B51" s="18" t="s">
        <v>795</v>
      </c>
      <c r="C51" s="21" t="s">
        <v>16</v>
      </c>
      <c r="D51" s="7"/>
    </row>
    <row r="52">
      <c r="A52" s="16">
        <v>47.0</v>
      </c>
      <c r="B52" s="18" t="s">
        <v>798</v>
      </c>
      <c r="C52" s="21" t="s">
        <v>16</v>
      </c>
      <c r="D52" s="7"/>
    </row>
    <row r="53">
      <c r="A53" s="16">
        <v>48.0</v>
      </c>
      <c r="B53" s="18" t="s">
        <v>361</v>
      </c>
      <c r="C53" s="21" t="s">
        <v>16</v>
      </c>
      <c r="D53" s="7"/>
    </row>
    <row r="54">
      <c r="A54" s="16">
        <v>49.0</v>
      </c>
      <c r="B54" s="18" t="s">
        <v>802</v>
      </c>
      <c r="C54" s="21" t="s">
        <v>16</v>
      </c>
      <c r="D54" s="7"/>
    </row>
    <row r="55">
      <c r="A55" s="16">
        <v>50.0</v>
      </c>
      <c r="B55" s="18" t="s">
        <v>805</v>
      </c>
      <c r="C55" s="21" t="s">
        <v>16</v>
      </c>
      <c r="D55" s="7"/>
    </row>
    <row r="56">
      <c r="A56" s="16">
        <v>51.0</v>
      </c>
      <c r="B56" s="18" t="s">
        <v>807</v>
      </c>
      <c r="C56" s="21" t="s">
        <v>16</v>
      </c>
      <c r="D56" s="7"/>
    </row>
    <row r="57">
      <c r="A57" s="28" t="s">
        <v>167</v>
      </c>
      <c r="B57" s="2"/>
      <c r="C57" s="3"/>
      <c r="D57" s="7"/>
    </row>
    <row r="58">
      <c r="A58" s="29" t="s">
        <v>171</v>
      </c>
      <c r="B58" s="2"/>
      <c r="C58" s="3"/>
      <c r="D58" s="30"/>
    </row>
  </sheetData>
  <mergeCells count="7">
    <mergeCell ref="A1:C1"/>
    <mergeCell ref="D1:D58"/>
    <mergeCell ref="A2:C2"/>
    <mergeCell ref="A3:C3"/>
    <mergeCell ref="A4:C4"/>
    <mergeCell ref="A57:C57"/>
    <mergeCell ref="A58:C58"/>
  </mergeCells>
  <conditionalFormatting sqref="D1:D56 C5:C56">
    <cfRule type="containsText" dxfId="0" priority="1" operator="containsText" text="Enrolled">
      <formula>NOT(ISERROR(SEARCH(("Enrolled"),(D1))))</formula>
    </cfRule>
  </conditionalFormatting>
  <conditionalFormatting sqref="D1:D56 C5:C56">
    <cfRule type="containsText" dxfId="1" priority="2" operator="containsText" text="Enlisted">
      <formula>NOT(ISERROR(SEARCH(("Enlisted"),(D1))))</formula>
    </cfRule>
  </conditionalFormatting>
  <hyperlinks>
    <hyperlink r:id="rId1" ref="A3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</cols>
  <sheetData>
    <row r="1">
      <c r="A1" s="4" t="s">
        <v>719</v>
      </c>
      <c r="B1" s="2"/>
      <c r="C1" s="3"/>
    </row>
    <row r="2">
      <c r="A2" s="6" t="s">
        <v>5</v>
      </c>
      <c r="B2" s="2"/>
      <c r="C2" s="3"/>
    </row>
    <row r="3">
      <c r="A3" s="8" t="s">
        <v>731</v>
      </c>
      <c r="B3" s="9"/>
      <c r="C3" s="10"/>
    </row>
    <row r="4">
      <c r="A4" s="11" t="s">
        <v>18</v>
      </c>
      <c r="B4" s="2"/>
      <c r="C4" s="3"/>
    </row>
    <row r="5">
      <c r="A5" s="12" t="s">
        <v>11</v>
      </c>
      <c r="B5" s="12" t="s">
        <v>12</v>
      </c>
      <c r="C5" s="31" t="s">
        <v>13</v>
      </c>
    </row>
    <row r="6">
      <c r="A6" s="16">
        <v>1.0</v>
      </c>
      <c r="B6" s="18" t="s">
        <v>627</v>
      </c>
      <c r="C6" s="24" t="s">
        <v>16</v>
      </c>
    </row>
    <row r="7">
      <c r="A7" s="16">
        <v>2.0</v>
      </c>
      <c r="B7" s="18" t="s">
        <v>751</v>
      </c>
      <c r="C7" s="24" t="s">
        <v>16</v>
      </c>
    </row>
    <row r="8">
      <c r="A8" s="16">
        <v>3.0</v>
      </c>
      <c r="B8" s="18" t="s">
        <v>755</v>
      </c>
      <c r="C8" s="24" t="s">
        <v>16</v>
      </c>
    </row>
    <row r="9">
      <c r="A9" s="16">
        <v>4.0</v>
      </c>
      <c r="B9" s="18" t="s">
        <v>759</v>
      </c>
      <c r="C9" s="24" t="s">
        <v>16</v>
      </c>
    </row>
    <row r="10">
      <c r="A10" s="16">
        <v>5.0</v>
      </c>
      <c r="B10" s="18" t="s">
        <v>760</v>
      </c>
      <c r="C10" s="24" t="s">
        <v>16</v>
      </c>
    </row>
    <row r="11">
      <c r="A11" s="16">
        <v>6.0</v>
      </c>
      <c r="B11" s="18" t="s">
        <v>764</v>
      </c>
      <c r="C11" s="24" t="s">
        <v>16</v>
      </c>
    </row>
    <row r="12">
      <c r="A12" s="16">
        <v>7.0</v>
      </c>
      <c r="B12" s="18" t="s">
        <v>767</v>
      </c>
      <c r="C12" s="24" t="s">
        <v>16</v>
      </c>
    </row>
    <row r="13">
      <c r="A13" s="16">
        <v>8.0</v>
      </c>
      <c r="B13" s="18" t="s">
        <v>769</v>
      </c>
      <c r="C13" s="24" t="s">
        <v>20</v>
      </c>
    </row>
    <row r="14">
      <c r="A14" s="16">
        <v>9.0</v>
      </c>
      <c r="B14" s="18" t="s">
        <v>773</v>
      </c>
      <c r="C14" s="24" t="s">
        <v>16</v>
      </c>
    </row>
    <row r="15">
      <c r="A15" s="16">
        <v>10.0</v>
      </c>
      <c r="B15" s="18" t="s">
        <v>774</v>
      </c>
      <c r="C15" s="24" t="s">
        <v>20</v>
      </c>
    </row>
    <row r="16">
      <c r="A16" s="16">
        <v>11.0</v>
      </c>
      <c r="B16" s="18" t="s">
        <v>777</v>
      </c>
      <c r="C16" s="24" t="s">
        <v>20</v>
      </c>
    </row>
    <row r="17">
      <c r="A17" s="16">
        <v>12.0</v>
      </c>
      <c r="B17" s="18" t="s">
        <v>779</v>
      </c>
      <c r="C17" s="24" t="s">
        <v>16</v>
      </c>
    </row>
    <row r="18">
      <c r="A18" s="16">
        <v>13.0</v>
      </c>
      <c r="B18" s="18" t="s">
        <v>784</v>
      </c>
      <c r="C18" s="24" t="s">
        <v>16</v>
      </c>
    </row>
    <row r="19">
      <c r="A19" s="16">
        <v>14.0</v>
      </c>
      <c r="B19" s="18" t="s">
        <v>788</v>
      </c>
      <c r="C19" s="24" t="s">
        <v>16</v>
      </c>
    </row>
    <row r="20">
      <c r="A20" s="16">
        <v>15.0</v>
      </c>
      <c r="B20" s="18" t="s">
        <v>791</v>
      </c>
      <c r="C20" s="24" t="s">
        <v>16</v>
      </c>
    </row>
    <row r="21">
      <c r="A21" s="16">
        <v>16.0</v>
      </c>
      <c r="B21" s="18" t="s">
        <v>794</v>
      </c>
      <c r="C21" s="25" t="s">
        <v>16</v>
      </c>
    </row>
    <row r="22">
      <c r="A22" s="16">
        <v>17.0</v>
      </c>
      <c r="B22" s="18" t="s">
        <v>797</v>
      </c>
      <c r="C22" s="24" t="s">
        <v>16</v>
      </c>
    </row>
    <row r="23">
      <c r="A23" s="16">
        <v>18.0</v>
      </c>
      <c r="B23" s="18" t="s">
        <v>800</v>
      </c>
      <c r="C23" s="24" t="s">
        <v>16</v>
      </c>
    </row>
    <row r="24">
      <c r="A24" s="16">
        <v>19.0</v>
      </c>
      <c r="B24" s="18" t="s">
        <v>804</v>
      </c>
      <c r="C24" s="24" t="s">
        <v>20</v>
      </c>
    </row>
    <row r="25">
      <c r="A25" s="16">
        <v>20.0</v>
      </c>
      <c r="B25" s="18" t="s">
        <v>808</v>
      </c>
      <c r="C25" s="24" t="s">
        <v>16</v>
      </c>
    </row>
    <row r="26">
      <c r="A26" s="16">
        <v>21.0</v>
      </c>
      <c r="B26" s="18" t="s">
        <v>810</v>
      </c>
      <c r="C26" s="24" t="s">
        <v>20</v>
      </c>
    </row>
    <row r="27">
      <c r="A27" s="16">
        <v>22.0</v>
      </c>
      <c r="B27" s="18" t="s">
        <v>811</v>
      </c>
      <c r="C27" s="24" t="s">
        <v>16</v>
      </c>
    </row>
    <row r="28">
      <c r="A28" s="16">
        <v>23.0</v>
      </c>
      <c r="B28" s="18" t="s">
        <v>813</v>
      </c>
      <c r="C28" s="24" t="s">
        <v>16</v>
      </c>
    </row>
    <row r="29">
      <c r="A29" s="16">
        <v>24.0</v>
      </c>
      <c r="B29" s="18" t="s">
        <v>814</v>
      </c>
      <c r="C29" s="24" t="s">
        <v>16</v>
      </c>
    </row>
    <row r="30">
      <c r="A30" s="16">
        <v>25.0</v>
      </c>
      <c r="B30" s="18" t="s">
        <v>815</v>
      </c>
      <c r="C30" s="24" t="s">
        <v>16</v>
      </c>
    </row>
    <row r="31">
      <c r="A31" s="16">
        <v>26.0</v>
      </c>
      <c r="B31" s="18" t="s">
        <v>816</v>
      </c>
      <c r="C31" s="24" t="s">
        <v>16</v>
      </c>
    </row>
    <row r="32">
      <c r="A32" s="16">
        <v>27.0</v>
      </c>
      <c r="B32" s="18"/>
      <c r="C32" s="24"/>
    </row>
    <row r="33">
      <c r="A33" s="16">
        <v>28.0</v>
      </c>
      <c r="B33" s="18"/>
      <c r="C33" s="24"/>
    </row>
    <row r="34">
      <c r="A34" s="16">
        <v>29.0</v>
      </c>
      <c r="B34" s="18"/>
      <c r="C34" s="24"/>
    </row>
    <row r="35">
      <c r="A35" s="16">
        <v>30.0</v>
      </c>
      <c r="B35" s="18"/>
      <c r="C35" s="24"/>
    </row>
    <row r="36">
      <c r="A36" s="16">
        <v>31.0</v>
      </c>
      <c r="B36" s="18"/>
      <c r="C36" s="24"/>
    </row>
    <row r="37">
      <c r="A37" s="16">
        <v>32.0</v>
      </c>
      <c r="B37" s="18"/>
      <c r="C37" s="24"/>
    </row>
    <row r="38">
      <c r="A38" s="16">
        <v>33.0</v>
      </c>
      <c r="B38" s="18"/>
      <c r="C38" s="24"/>
    </row>
    <row r="39">
      <c r="A39" s="16">
        <v>34.0</v>
      </c>
      <c r="B39" s="18"/>
      <c r="C39" s="25"/>
    </row>
    <row r="40">
      <c r="A40" s="16">
        <v>35.0</v>
      </c>
      <c r="B40" s="18"/>
      <c r="C40" s="24"/>
    </row>
    <row r="41">
      <c r="A41" s="16">
        <v>36.0</v>
      </c>
      <c r="B41" s="18"/>
      <c r="C41" s="24"/>
    </row>
    <row r="42">
      <c r="A42" s="16">
        <v>37.0</v>
      </c>
      <c r="B42" s="18"/>
      <c r="C42" s="24"/>
    </row>
    <row r="43">
      <c r="A43" s="16">
        <v>38.0</v>
      </c>
      <c r="B43" s="18"/>
      <c r="C43" s="24"/>
    </row>
    <row r="44">
      <c r="A44" s="16">
        <v>39.0</v>
      </c>
      <c r="B44" s="18"/>
      <c r="C44" s="24"/>
    </row>
    <row r="45">
      <c r="A45" s="16">
        <v>40.0</v>
      </c>
      <c r="B45" s="18"/>
      <c r="C45" s="21"/>
    </row>
    <row r="46">
      <c r="A46" s="16">
        <v>41.0</v>
      </c>
      <c r="B46" s="18"/>
      <c r="C46" s="21"/>
    </row>
    <row r="47">
      <c r="A47" s="16">
        <v>42.0</v>
      </c>
      <c r="B47" s="18"/>
      <c r="C47" s="21"/>
    </row>
    <row r="48">
      <c r="A48" s="16">
        <v>43.0</v>
      </c>
      <c r="B48" s="18"/>
      <c r="C48" s="21"/>
    </row>
    <row r="49">
      <c r="A49" s="16">
        <v>44.0</v>
      </c>
      <c r="B49" s="40"/>
      <c r="C49" s="41"/>
    </row>
    <row r="50">
      <c r="A50" s="16">
        <v>45.0</v>
      </c>
      <c r="B50" s="40"/>
      <c r="C50" s="41"/>
    </row>
    <row r="51">
      <c r="A51" s="28" t="s">
        <v>167</v>
      </c>
      <c r="B51" s="2"/>
      <c r="C51" s="3"/>
    </row>
    <row r="52">
      <c r="A52" s="29" t="s">
        <v>171</v>
      </c>
      <c r="B52" s="2"/>
      <c r="C52" s="3"/>
    </row>
  </sheetData>
  <mergeCells count="6">
    <mergeCell ref="A1:C1"/>
    <mergeCell ref="A2:C2"/>
    <mergeCell ref="A3:C3"/>
    <mergeCell ref="A4:C4"/>
    <mergeCell ref="A51:C51"/>
    <mergeCell ref="A52:C52"/>
  </mergeCells>
  <conditionalFormatting sqref="C5:C50">
    <cfRule type="containsText" dxfId="0" priority="1" operator="containsText" text="Enrolled">
      <formula>NOT(ISERROR(SEARCH(("Enrolled"),(C5))))</formula>
    </cfRule>
  </conditionalFormatting>
  <conditionalFormatting sqref="C5:C50">
    <cfRule type="containsText" dxfId="1" priority="2" operator="containsText" text="Enlisted">
      <formula>NOT(ISERROR(SEARCH(("Enlisted"),(C5))))</formula>
    </cfRule>
  </conditionalFormatting>
  <hyperlinks>
    <hyperlink r:id="rId1" ref="A3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</cols>
  <sheetData>
    <row r="1">
      <c r="A1" s="4" t="s">
        <v>786</v>
      </c>
      <c r="B1" s="2"/>
      <c r="C1" s="3"/>
    </row>
    <row r="2">
      <c r="A2" s="6" t="s">
        <v>5</v>
      </c>
      <c r="B2" s="2"/>
      <c r="C2" s="3"/>
    </row>
    <row r="3">
      <c r="A3" s="8"/>
      <c r="B3" s="9"/>
      <c r="C3" s="10"/>
    </row>
    <row r="4">
      <c r="A4" s="11" t="s">
        <v>428</v>
      </c>
      <c r="B4" s="2"/>
      <c r="C4" s="3"/>
    </row>
    <row r="5">
      <c r="A5" s="12" t="s">
        <v>11</v>
      </c>
      <c r="B5" s="12" t="s">
        <v>12</v>
      </c>
      <c r="C5" s="31" t="s">
        <v>13</v>
      </c>
    </row>
    <row r="6">
      <c r="A6" s="16">
        <v>1.0</v>
      </c>
      <c r="B6" s="18" t="s">
        <v>796</v>
      </c>
      <c r="C6" s="24" t="s">
        <v>16</v>
      </c>
    </row>
    <row r="7">
      <c r="A7" s="16">
        <v>2.0</v>
      </c>
      <c r="B7" s="18" t="s">
        <v>799</v>
      </c>
      <c r="C7" s="24" t="s">
        <v>16</v>
      </c>
    </row>
    <row r="8">
      <c r="A8" s="16">
        <v>3.0</v>
      </c>
      <c r="B8" s="18" t="s">
        <v>801</v>
      </c>
      <c r="C8" s="24" t="s">
        <v>16</v>
      </c>
    </row>
    <row r="9">
      <c r="A9" s="16">
        <v>4.0</v>
      </c>
      <c r="B9" s="18" t="s">
        <v>803</v>
      </c>
      <c r="C9" s="24" t="s">
        <v>16</v>
      </c>
    </row>
    <row r="10">
      <c r="A10" s="16">
        <v>5.0</v>
      </c>
      <c r="B10" s="18" t="s">
        <v>806</v>
      </c>
      <c r="C10" s="24" t="s">
        <v>20</v>
      </c>
    </row>
    <row r="11">
      <c r="A11" s="16">
        <v>6.0</v>
      </c>
      <c r="B11" s="18" t="s">
        <v>809</v>
      </c>
      <c r="C11" s="24" t="s">
        <v>16</v>
      </c>
    </row>
    <row r="12">
      <c r="A12" s="16">
        <v>7.0</v>
      </c>
      <c r="B12" s="18"/>
      <c r="C12" s="24"/>
    </row>
    <row r="13">
      <c r="A13" s="16">
        <v>8.0</v>
      </c>
      <c r="B13" s="18"/>
      <c r="C13" s="24"/>
    </row>
    <row r="14">
      <c r="A14" s="16">
        <v>9.0</v>
      </c>
      <c r="B14" s="18"/>
      <c r="C14" s="24"/>
    </row>
    <row r="15">
      <c r="A15" s="16">
        <v>10.0</v>
      </c>
      <c r="B15" s="18"/>
      <c r="C15" s="24"/>
    </row>
    <row r="16">
      <c r="A16" s="16">
        <v>11.0</v>
      </c>
      <c r="B16" s="18"/>
      <c r="C16" s="24"/>
    </row>
    <row r="17">
      <c r="A17" s="16">
        <v>12.0</v>
      </c>
      <c r="B17" s="18"/>
      <c r="C17" s="24"/>
    </row>
    <row r="18">
      <c r="A18" s="16">
        <v>13.0</v>
      </c>
      <c r="B18" s="18"/>
      <c r="C18" s="24"/>
    </row>
    <row r="19">
      <c r="A19" s="16">
        <v>14.0</v>
      </c>
      <c r="B19" s="18"/>
      <c r="C19" s="24"/>
    </row>
    <row r="20">
      <c r="A20" s="16">
        <v>15.0</v>
      </c>
      <c r="B20" s="18"/>
      <c r="C20" s="24"/>
    </row>
    <row r="21">
      <c r="A21" s="16">
        <v>16.0</v>
      </c>
      <c r="B21" s="18"/>
      <c r="C21" s="25"/>
    </row>
    <row r="22">
      <c r="A22" s="16">
        <v>17.0</v>
      </c>
      <c r="B22" s="18"/>
      <c r="C22" s="24"/>
    </row>
    <row r="23">
      <c r="A23" s="16">
        <v>18.0</v>
      </c>
      <c r="B23" s="18"/>
      <c r="C23" s="24"/>
    </row>
    <row r="24">
      <c r="A24" s="16">
        <v>19.0</v>
      </c>
      <c r="B24" s="18"/>
      <c r="C24" s="24"/>
    </row>
    <row r="25">
      <c r="A25" s="16">
        <v>20.0</v>
      </c>
      <c r="B25" s="18"/>
      <c r="C25" s="24"/>
    </row>
    <row r="26">
      <c r="A26" s="16">
        <v>21.0</v>
      </c>
      <c r="B26" s="18"/>
      <c r="C26" s="24"/>
    </row>
    <row r="27">
      <c r="A27" s="16">
        <v>22.0</v>
      </c>
      <c r="B27" s="18"/>
      <c r="C27" s="24"/>
    </row>
    <row r="28">
      <c r="A28" s="16">
        <v>23.0</v>
      </c>
      <c r="B28" s="18"/>
      <c r="C28" s="24"/>
    </row>
    <row r="29">
      <c r="A29" s="16">
        <v>24.0</v>
      </c>
      <c r="B29" s="18"/>
      <c r="C29" s="24"/>
    </row>
    <row r="30">
      <c r="A30" s="16">
        <v>25.0</v>
      </c>
      <c r="B30" s="18"/>
      <c r="C30" s="24"/>
    </row>
    <row r="31">
      <c r="A31" s="16">
        <v>26.0</v>
      </c>
      <c r="B31" s="18"/>
      <c r="C31" s="24"/>
    </row>
    <row r="32">
      <c r="A32" s="16">
        <v>27.0</v>
      </c>
      <c r="B32" s="18"/>
      <c r="C32" s="24"/>
    </row>
    <row r="33">
      <c r="A33" s="16">
        <v>28.0</v>
      </c>
      <c r="B33" s="18"/>
      <c r="C33" s="24"/>
    </row>
    <row r="34">
      <c r="A34" s="16">
        <v>29.0</v>
      </c>
      <c r="B34" s="18"/>
      <c r="C34" s="24"/>
    </row>
    <row r="35">
      <c r="A35" s="16">
        <v>30.0</v>
      </c>
      <c r="B35" s="18"/>
      <c r="C35" s="24"/>
    </row>
    <row r="36">
      <c r="A36" s="16">
        <v>31.0</v>
      </c>
      <c r="B36" s="18"/>
      <c r="C36" s="24"/>
    </row>
    <row r="37">
      <c r="A37" s="16">
        <v>32.0</v>
      </c>
      <c r="B37" s="18"/>
      <c r="C37" s="24"/>
    </row>
    <row r="38">
      <c r="A38" s="16">
        <v>33.0</v>
      </c>
      <c r="B38" s="18"/>
      <c r="C38" s="24"/>
    </row>
    <row r="39">
      <c r="A39" s="16">
        <v>34.0</v>
      </c>
      <c r="B39" s="18"/>
      <c r="C39" s="25"/>
    </row>
    <row r="40">
      <c r="A40" s="16">
        <v>35.0</v>
      </c>
      <c r="B40" s="18"/>
      <c r="C40" s="24"/>
    </row>
    <row r="41">
      <c r="A41" s="16">
        <v>36.0</v>
      </c>
      <c r="B41" s="18"/>
      <c r="C41" s="24"/>
    </row>
    <row r="42">
      <c r="A42" s="16">
        <v>37.0</v>
      </c>
      <c r="B42" s="18"/>
      <c r="C42" s="24"/>
    </row>
    <row r="43">
      <c r="A43" s="16">
        <v>38.0</v>
      </c>
      <c r="B43" s="18"/>
      <c r="C43" s="24"/>
    </row>
    <row r="44">
      <c r="A44" s="16">
        <v>39.0</v>
      </c>
      <c r="B44" s="18"/>
      <c r="C44" s="24"/>
    </row>
    <row r="45">
      <c r="A45" s="16">
        <v>40.0</v>
      </c>
      <c r="B45" s="18"/>
      <c r="C45" s="21"/>
    </row>
    <row r="46">
      <c r="A46" s="16">
        <v>41.0</v>
      </c>
      <c r="B46" s="18"/>
      <c r="C46" s="21"/>
    </row>
    <row r="47">
      <c r="A47" s="16">
        <v>42.0</v>
      </c>
      <c r="B47" s="18"/>
      <c r="C47" s="21"/>
    </row>
    <row r="48">
      <c r="A48" s="16">
        <v>43.0</v>
      </c>
      <c r="B48" s="18"/>
      <c r="C48" s="21"/>
    </row>
    <row r="49">
      <c r="A49" s="16">
        <v>44.0</v>
      </c>
      <c r="B49" s="40"/>
      <c r="C49" s="41"/>
    </row>
    <row r="50">
      <c r="A50" s="16">
        <v>45.0</v>
      </c>
      <c r="B50" s="40"/>
      <c r="C50" s="41"/>
    </row>
    <row r="51">
      <c r="A51" s="28" t="s">
        <v>167</v>
      </c>
      <c r="B51" s="2"/>
      <c r="C51" s="3"/>
    </row>
    <row r="52">
      <c r="A52" s="29" t="s">
        <v>171</v>
      </c>
      <c r="B52" s="2"/>
      <c r="C52" s="3"/>
    </row>
  </sheetData>
  <mergeCells count="6">
    <mergeCell ref="A1:C1"/>
    <mergeCell ref="A2:C2"/>
    <mergeCell ref="A3:C3"/>
    <mergeCell ref="A4:C4"/>
    <mergeCell ref="A51:C51"/>
    <mergeCell ref="A52:C52"/>
  </mergeCells>
  <conditionalFormatting sqref="C5:C50">
    <cfRule type="containsText" dxfId="0" priority="1" operator="containsText" text="Enrolled">
      <formula>NOT(ISERROR(SEARCH(("Enrolled"),(C5))))</formula>
    </cfRule>
  </conditionalFormatting>
  <conditionalFormatting sqref="C5:C50">
    <cfRule type="containsText" dxfId="1" priority="2" operator="containsText" text="Enlisted">
      <formula>NOT(ISERROR(SEARCH(("Enlisted"),(C5))))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812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818</v>
      </c>
      <c r="B3" s="9"/>
      <c r="C3" s="10"/>
      <c r="D3" s="7"/>
    </row>
    <row r="4">
      <c r="A4" s="11" t="s">
        <v>819</v>
      </c>
      <c r="B4" s="2"/>
      <c r="C4" s="3"/>
      <c r="D4" s="7"/>
    </row>
    <row r="5">
      <c r="A5" s="12" t="s">
        <v>11</v>
      </c>
      <c r="B5" s="12" t="s">
        <v>12</v>
      </c>
      <c r="C5" s="31" t="s">
        <v>13</v>
      </c>
      <c r="D5" s="7"/>
    </row>
    <row r="6">
      <c r="A6" s="16">
        <v>1.0</v>
      </c>
      <c r="B6" s="18" t="s">
        <v>821</v>
      </c>
      <c r="C6" s="24" t="s">
        <v>16</v>
      </c>
      <c r="D6" s="7"/>
    </row>
    <row r="7">
      <c r="A7" s="16">
        <v>2.0</v>
      </c>
      <c r="B7" s="18" t="s">
        <v>823</v>
      </c>
      <c r="C7" s="24" t="s">
        <v>16</v>
      </c>
      <c r="D7" s="7"/>
    </row>
    <row r="8">
      <c r="A8" s="16">
        <v>3.0</v>
      </c>
      <c r="B8" s="18" t="s">
        <v>824</v>
      </c>
      <c r="C8" s="24" t="s">
        <v>16</v>
      </c>
      <c r="D8" s="7"/>
    </row>
    <row r="9">
      <c r="A9" s="16">
        <v>4.0</v>
      </c>
      <c r="B9" s="18" t="s">
        <v>826</v>
      </c>
      <c r="C9" s="24" t="s">
        <v>16</v>
      </c>
      <c r="D9" s="7"/>
    </row>
    <row r="10">
      <c r="A10" s="16">
        <v>5.0</v>
      </c>
      <c r="B10" s="18" t="s">
        <v>828</v>
      </c>
      <c r="C10" s="24" t="s">
        <v>20</v>
      </c>
      <c r="D10" s="7"/>
    </row>
    <row r="11">
      <c r="A11" s="16">
        <v>6.0</v>
      </c>
      <c r="B11" s="18" t="s">
        <v>830</v>
      </c>
      <c r="C11" s="24" t="s">
        <v>16</v>
      </c>
      <c r="D11" s="7"/>
    </row>
    <row r="12">
      <c r="A12" s="16">
        <v>7.0</v>
      </c>
      <c r="B12" s="18" t="s">
        <v>834</v>
      </c>
      <c r="C12" s="25" t="s">
        <v>20</v>
      </c>
      <c r="D12" s="7"/>
    </row>
    <row r="13">
      <c r="A13" s="16">
        <v>8.0</v>
      </c>
      <c r="B13" s="18" t="s">
        <v>837</v>
      </c>
      <c r="C13" s="25" t="s">
        <v>20</v>
      </c>
      <c r="D13" s="7"/>
    </row>
    <row r="14">
      <c r="A14" s="16">
        <v>9.0</v>
      </c>
      <c r="B14" s="18" t="s">
        <v>839</v>
      </c>
      <c r="C14" s="24" t="s">
        <v>16</v>
      </c>
      <c r="D14" s="7"/>
    </row>
    <row r="15">
      <c r="A15" s="16">
        <v>10.0</v>
      </c>
      <c r="B15" s="18" t="s">
        <v>843</v>
      </c>
      <c r="C15" s="24" t="s">
        <v>16</v>
      </c>
      <c r="D15" s="7"/>
    </row>
    <row r="16">
      <c r="A16" s="16">
        <v>11.0</v>
      </c>
      <c r="B16" s="18" t="s">
        <v>846</v>
      </c>
      <c r="C16" s="24" t="s">
        <v>16</v>
      </c>
      <c r="D16" s="7"/>
    </row>
    <row r="17">
      <c r="A17" s="16">
        <v>12.0</v>
      </c>
      <c r="B17" s="18" t="s">
        <v>848</v>
      </c>
      <c r="C17" s="24" t="s">
        <v>20</v>
      </c>
      <c r="D17" s="7"/>
    </row>
    <row r="18">
      <c r="A18" s="16">
        <v>13.0</v>
      </c>
      <c r="B18" s="18" t="s">
        <v>850</v>
      </c>
      <c r="C18" s="24" t="s">
        <v>16</v>
      </c>
      <c r="D18" s="7"/>
    </row>
    <row r="19">
      <c r="A19" s="16">
        <v>14.0</v>
      </c>
      <c r="B19" s="18" t="s">
        <v>853</v>
      </c>
      <c r="C19" s="24" t="s">
        <v>16</v>
      </c>
      <c r="D19" s="7"/>
    </row>
    <row r="20">
      <c r="A20" s="16">
        <v>15.0</v>
      </c>
      <c r="B20" s="18" t="s">
        <v>857</v>
      </c>
      <c r="C20" s="24" t="s">
        <v>16</v>
      </c>
      <c r="D20" s="7"/>
    </row>
    <row r="21">
      <c r="A21" s="16">
        <v>16.0</v>
      </c>
      <c r="B21" s="18" t="s">
        <v>859</v>
      </c>
      <c r="C21" s="25" t="s">
        <v>16</v>
      </c>
      <c r="D21" s="7"/>
    </row>
    <row r="22">
      <c r="A22" s="16">
        <v>17.0</v>
      </c>
      <c r="B22" s="18" t="s">
        <v>861</v>
      </c>
      <c r="C22" s="24" t="s">
        <v>16</v>
      </c>
      <c r="D22" s="7"/>
    </row>
    <row r="23">
      <c r="A23" s="16">
        <v>18.0</v>
      </c>
      <c r="B23" s="18" t="s">
        <v>864</v>
      </c>
      <c r="C23" s="24" t="s">
        <v>16</v>
      </c>
      <c r="D23" s="7"/>
    </row>
    <row r="24">
      <c r="A24" s="16">
        <v>19.0</v>
      </c>
      <c r="B24" s="18" t="s">
        <v>867</v>
      </c>
      <c r="C24" s="24" t="s">
        <v>16</v>
      </c>
      <c r="D24" s="7"/>
    </row>
    <row r="25">
      <c r="A25" s="16">
        <v>20.0</v>
      </c>
      <c r="B25" s="18" t="s">
        <v>870</v>
      </c>
      <c r="C25" s="24" t="s">
        <v>16</v>
      </c>
      <c r="D25" s="7"/>
    </row>
    <row r="26">
      <c r="A26" s="16">
        <v>21.0</v>
      </c>
      <c r="B26" s="18" t="s">
        <v>873</v>
      </c>
      <c r="C26" s="24" t="s">
        <v>20</v>
      </c>
      <c r="D26" s="7"/>
    </row>
    <row r="27">
      <c r="A27" s="16">
        <v>22.0</v>
      </c>
      <c r="B27" s="18" t="s">
        <v>875</v>
      </c>
      <c r="C27" s="24" t="s">
        <v>16</v>
      </c>
      <c r="D27" s="7"/>
    </row>
    <row r="28">
      <c r="A28" s="16">
        <v>23.0</v>
      </c>
      <c r="B28" s="18" t="s">
        <v>879</v>
      </c>
      <c r="C28" s="24" t="s">
        <v>16</v>
      </c>
      <c r="D28" s="7"/>
    </row>
    <row r="29">
      <c r="A29" s="16">
        <v>24.0</v>
      </c>
      <c r="B29" s="18" t="s">
        <v>884</v>
      </c>
      <c r="C29" s="24" t="s">
        <v>16</v>
      </c>
      <c r="D29" s="7"/>
    </row>
    <row r="30">
      <c r="A30" s="16">
        <v>25.0</v>
      </c>
      <c r="B30" s="18" t="s">
        <v>888</v>
      </c>
      <c r="C30" s="24" t="s">
        <v>16</v>
      </c>
      <c r="D30" s="7"/>
    </row>
    <row r="31">
      <c r="A31" s="16">
        <v>26.0</v>
      </c>
      <c r="B31" s="18" t="s">
        <v>893</v>
      </c>
      <c r="C31" s="24" t="s">
        <v>16</v>
      </c>
      <c r="D31" s="7"/>
    </row>
    <row r="32">
      <c r="A32" s="16">
        <v>27.0</v>
      </c>
      <c r="B32" s="18" t="s">
        <v>898</v>
      </c>
      <c r="C32" s="24" t="s">
        <v>20</v>
      </c>
      <c r="D32" s="7"/>
    </row>
    <row r="33">
      <c r="A33" s="16">
        <v>28.0</v>
      </c>
      <c r="B33" s="18" t="s">
        <v>903</v>
      </c>
      <c r="C33" s="24" t="s">
        <v>16</v>
      </c>
      <c r="D33" s="7"/>
    </row>
    <row r="34">
      <c r="A34" s="16">
        <v>29.0</v>
      </c>
      <c r="B34" s="18" t="s">
        <v>908</v>
      </c>
      <c r="C34" s="24" t="s">
        <v>16</v>
      </c>
      <c r="D34" s="7"/>
    </row>
    <row r="35">
      <c r="A35" s="16">
        <v>30.0</v>
      </c>
      <c r="B35" s="18" t="s">
        <v>912</v>
      </c>
      <c r="C35" s="24" t="s">
        <v>16</v>
      </c>
      <c r="D35" s="7"/>
    </row>
    <row r="36">
      <c r="A36" s="16">
        <v>31.0</v>
      </c>
      <c r="B36" s="18" t="s">
        <v>916</v>
      </c>
      <c r="C36" s="24" t="s">
        <v>16</v>
      </c>
      <c r="D36" s="7"/>
    </row>
    <row r="37">
      <c r="A37" s="16">
        <v>32.0</v>
      </c>
      <c r="B37" s="18" t="s">
        <v>920</v>
      </c>
      <c r="C37" s="24" t="s">
        <v>16</v>
      </c>
      <c r="D37" s="7"/>
    </row>
    <row r="38">
      <c r="A38" s="16">
        <v>33.0</v>
      </c>
      <c r="B38" s="18" t="s">
        <v>925</v>
      </c>
      <c r="C38" s="24" t="s">
        <v>20</v>
      </c>
      <c r="D38" s="7"/>
    </row>
    <row r="39">
      <c r="A39" s="16">
        <v>34.0</v>
      </c>
      <c r="B39" s="18" t="s">
        <v>929</v>
      </c>
      <c r="C39" s="25" t="s">
        <v>16</v>
      </c>
      <c r="D39" s="7"/>
    </row>
    <row r="40">
      <c r="A40" s="16">
        <v>35.0</v>
      </c>
      <c r="B40" s="18" t="s">
        <v>933</v>
      </c>
      <c r="C40" s="24" t="s">
        <v>16</v>
      </c>
      <c r="D40" s="7"/>
    </row>
    <row r="41">
      <c r="A41" s="16">
        <v>36.0</v>
      </c>
      <c r="B41" s="18" t="s">
        <v>937</v>
      </c>
      <c r="C41" s="24" t="s">
        <v>16</v>
      </c>
      <c r="D41" s="7"/>
    </row>
    <row r="42">
      <c r="A42" s="16">
        <v>37.0</v>
      </c>
      <c r="B42" s="18" t="s">
        <v>941</v>
      </c>
      <c r="C42" s="24" t="s">
        <v>16</v>
      </c>
      <c r="D42" s="7"/>
    </row>
    <row r="43">
      <c r="A43" s="16">
        <v>38.0</v>
      </c>
      <c r="B43" s="18" t="s">
        <v>945</v>
      </c>
      <c r="C43" s="24" t="s">
        <v>16</v>
      </c>
      <c r="D43" s="7"/>
    </row>
    <row r="44">
      <c r="A44" s="16">
        <v>39.0</v>
      </c>
      <c r="B44" s="18" t="s">
        <v>948</v>
      </c>
      <c r="C44" s="24" t="s">
        <v>16</v>
      </c>
      <c r="D44" s="7"/>
    </row>
    <row r="45">
      <c r="A45" s="16">
        <v>40.0</v>
      </c>
      <c r="B45" s="18" t="s">
        <v>951</v>
      </c>
      <c r="C45" s="21" t="s">
        <v>16</v>
      </c>
      <c r="D45" s="7"/>
    </row>
    <row r="46">
      <c r="A46" s="16">
        <v>41.0</v>
      </c>
      <c r="B46" s="18" t="s">
        <v>953</v>
      </c>
      <c r="C46" s="21" t="s">
        <v>16</v>
      </c>
      <c r="D46" s="7"/>
    </row>
    <row r="47">
      <c r="A47" s="16">
        <v>42.0</v>
      </c>
      <c r="B47" s="18" t="s">
        <v>956</v>
      </c>
      <c r="C47" s="21" t="s">
        <v>16</v>
      </c>
      <c r="D47" s="7"/>
    </row>
    <row r="48">
      <c r="A48" s="16">
        <v>43.0</v>
      </c>
      <c r="B48" s="18" t="s">
        <v>958</v>
      </c>
      <c r="C48" s="21" t="s">
        <v>16</v>
      </c>
      <c r="D48" s="7"/>
    </row>
    <row r="49">
      <c r="A49" s="16">
        <v>44.0</v>
      </c>
      <c r="B49" s="18" t="s">
        <v>960</v>
      </c>
      <c r="C49" s="21" t="s">
        <v>16</v>
      </c>
      <c r="D49" s="7"/>
    </row>
    <row r="50">
      <c r="A50" s="16">
        <v>45.0</v>
      </c>
      <c r="B50" s="18" t="s">
        <v>475</v>
      </c>
      <c r="C50" s="21" t="s">
        <v>16</v>
      </c>
      <c r="D50" s="7"/>
    </row>
    <row r="51">
      <c r="A51" s="16">
        <v>46.0</v>
      </c>
      <c r="B51" s="18" t="s">
        <v>966</v>
      </c>
      <c r="C51" s="21" t="s">
        <v>16</v>
      </c>
      <c r="D51" s="7"/>
    </row>
    <row r="52">
      <c r="A52" s="28" t="s">
        <v>167</v>
      </c>
      <c r="B52" s="2"/>
      <c r="C52" s="3"/>
      <c r="D52" s="7"/>
    </row>
    <row r="53">
      <c r="A53" s="29" t="s">
        <v>171</v>
      </c>
      <c r="B53" s="2"/>
      <c r="C53" s="3"/>
      <c r="D53" s="30"/>
    </row>
  </sheetData>
  <mergeCells count="7">
    <mergeCell ref="A1:C1"/>
    <mergeCell ref="D1:D53"/>
    <mergeCell ref="A2:C2"/>
    <mergeCell ref="A3:C3"/>
    <mergeCell ref="A4:C4"/>
    <mergeCell ref="A52:C52"/>
    <mergeCell ref="A53:C53"/>
  </mergeCells>
  <conditionalFormatting sqref="C1:C51 D1:D53">
    <cfRule type="containsText" dxfId="0" priority="1" operator="containsText" text="Enrolled">
      <formula>NOT(ISERROR(SEARCH(("Enrolled"),(C1))))</formula>
    </cfRule>
  </conditionalFormatting>
  <conditionalFormatting sqref="C1:C51 D1:D53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817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820</v>
      </c>
      <c r="B3" s="9"/>
      <c r="C3" s="10"/>
      <c r="D3" s="7"/>
    </row>
    <row r="4">
      <c r="A4" s="11" t="s">
        <v>822</v>
      </c>
      <c r="B4" s="2"/>
      <c r="C4" s="3"/>
      <c r="D4" s="7"/>
    </row>
    <row r="5">
      <c r="A5" s="12" t="s">
        <v>11</v>
      </c>
      <c r="B5" s="12" t="s">
        <v>12</v>
      </c>
      <c r="C5" s="39" t="s">
        <v>13</v>
      </c>
      <c r="D5" s="7"/>
    </row>
    <row r="6">
      <c r="A6" s="16">
        <v>1.0</v>
      </c>
      <c r="B6" s="18" t="s">
        <v>825</v>
      </c>
      <c r="C6" s="24" t="s">
        <v>16</v>
      </c>
      <c r="D6" s="7"/>
    </row>
    <row r="7">
      <c r="A7" s="16">
        <v>2.0</v>
      </c>
      <c r="B7" s="18" t="s">
        <v>827</v>
      </c>
      <c r="C7" s="24" t="s">
        <v>16</v>
      </c>
      <c r="D7" s="7"/>
    </row>
    <row r="8">
      <c r="A8" s="16">
        <v>3.0</v>
      </c>
      <c r="B8" s="18" t="s">
        <v>829</v>
      </c>
      <c r="C8" s="24" t="s">
        <v>16</v>
      </c>
      <c r="D8" s="7"/>
    </row>
    <row r="9">
      <c r="A9" s="16">
        <v>4.0</v>
      </c>
      <c r="B9" s="18" t="s">
        <v>831</v>
      </c>
      <c r="C9" s="24" t="s">
        <v>16</v>
      </c>
      <c r="D9" s="7"/>
    </row>
    <row r="10">
      <c r="A10" s="16">
        <v>5.0</v>
      </c>
      <c r="B10" s="18" t="s">
        <v>832</v>
      </c>
      <c r="C10" s="24" t="s">
        <v>16</v>
      </c>
      <c r="D10" s="7"/>
    </row>
    <row r="11">
      <c r="A11" s="16">
        <v>6.0</v>
      </c>
      <c r="B11" s="18" t="s">
        <v>833</v>
      </c>
      <c r="C11" s="24" t="s">
        <v>16</v>
      </c>
      <c r="D11" s="7"/>
    </row>
    <row r="12">
      <c r="A12" s="16">
        <v>7.0</v>
      </c>
      <c r="B12" s="18" t="s">
        <v>835</v>
      </c>
      <c r="C12" s="24" t="s">
        <v>16</v>
      </c>
      <c r="D12" s="7"/>
    </row>
    <row r="13">
      <c r="A13" s="16">
        <v>8.0</v>
      </c>
      <c r="B13" s="18" t="s">
        <v>836</v>
      </c>
      <c r="C13" s="24" t="s">
        <v>16</v>
      </c>
      <c r="D13" s="7"/>
    </row>
    <row r="14">
      <c r="A14" s="16">
        <v>9.0</v>
      </c>
      <c r="B14" s="18" t="s">
        <v>838</v>
      </c>
      <c r="C14" s="24" t="s">
        <v>16</v>
      </c>
      <c r="D14" s="7"/>
    </row>
    <row r="15">
      <c r="A15" s="16">
        <v>10.0</v>
      </c>
      <c r="B15" s="18" t="s">
        <v>260</v>
      </c>
      <c r="C15" s="24" t="s">
        <v>16</v>
      </c>
      <c r="D15" s="7"/>
    </row>
    <row r="16">
      <c r="A16" s="16">
        <v>11.0</v>
      </c>
      <c r="B16" s="18" t="s">
        <v>840</v>
      </c>
      <c r="C16" s="24" t="s">
        <v>16</v>
      </c>
      <c r="D16" s="7"/>
    </row>
    <row r="17">
      <c r="A17" s="16">
        <v>12.0</v>
      </c>
      <c r="B17" s="18" t="s">
        <v>841</v>
      </c>
      <c r="C17" s="24" t="s">
        <v>16</v>
      </c>
      <c r="D17" s="7"/>
    </row>
    <row r="18">
      <c r="A18" s="16">
        <v>13.0</v>
      </c>
      <c r="B18" s="18" t="s">
        <v>842</v>
      </c>
      <c r="C18" s="24" t="s">
        <v>16</v>
      </c>
      <c r="D18" s="7"/>
    </row>
    <row r="19">
      <c r="A19" s="16">
        <v>14.0</v>
      </c>
      <c r="B19" s="18" t="s">
        <v>844</v>
      </c>
      <c r="C19" s="24" t="s">
        <v>16</v>
      </c>
      <c r="D19" s="7"/>
    </row>
    <row r="20">
      <c r="A20" s="16">
        <v>15.0</v>
      </c>
      <c r="B20" s="18" t="s">
        <v>845</v>
      </c>
      <c r="C20" s="24" t="s">
        <v>16</v>
      </c>
      <c r="D20" s="7"/>
    </row>
    <row r="21">
      <c r="A21" s="16">
        <v>16.0</v>
      </c>
      <c r="B21" s="18" t="s">
        <v>847</v>
      </c>
      <c r="C21" s="25" t="s">
        <v>16</v>
      </c>
      <c r="D21" s="7"/>
    </row>
    <row r="22">
      <c r="A22" s="16">
        <v>17.0</v>
      </c>
      <c r="B22" s="18" t="s">
        <v>849</v>
      </c>
      <c r="C22" s="24" t="s">
        <v>16</v>
      </c>
      <c r="D22" s="7"/>
    </row>
    <row r="23">
      <c r="A23" s="16">
        <v>18.0</v>
      </c>
      <c r="B23" s="18" t="s">
        <v>851</v>
      </c>
      <c r="C23" s="24" t="s">
        <v>20</v>
      </c>
      <c r="D23" s="7"/>
    </row>
    <row r="24">
      <c r="A24" s="16">
        <v>19.0</v>
      </c>
      <c r="B24" s="18" t="s">
        <v>852</v>
      </c>
      <c r="C24" s="24" t="s">
        <v>16</v>
      </c>
      <c r="D24" s="7"/>
    </row>
    <row r="25">
      <c r="A25" s="16">
        <v>20.0</v>
      </c>
      <c r="B25" s="18" t="s">
        <v>855</v>
      </c>
      <c r="C25" s="24" t="s">
        <v>16</v>
      </c>
      <c r="D25" s="7"/>
    </row>
    <row r="26">
      <c r="A26" s="16">
        <v>21.0</v>
      </c>
      <c r="B26" s="18" t="s">
        <v>858</v>
      </c>
      <c r="C26" s="24" t="s">
        <v>16</v>
      </c>
      <c r="D26" s="7"/>
    </row>
    <row r="27">
      <c r="A27" s="16">
        <v>22.0</v>
      </c>
      <c r="B27" s="18" t="s">
        <v>860</v>
      </c>
      <c r="C27" s="24" t="s">
        <v>16</v>
      </c>
      <c r="D27" s="7"/>
    </row>
    <row r="28">
      <c r="A28" s="16">
        <v>23.0</v>
      </c>
      <c r="B28" s="18" t="s">
        <v>862</v>
      </c>
      <c r="C28" s="24" t="s">
        <v>16</v>
      </c>
      <c r="D28" s="7"/>
    </row>
    <row r="29">
      <c r="A29" s="16">
        <v>24.0</v>
      </c>
      <c r="B29" s="18" t="s">
        <v>865</v>
      </c>
      <c r="C29" s="24" t="s">
        <v>16</v>
      </c>
      <c r="D29" s="7"/>
    </row>
    <row r="30">
      <c r="A30" s="16">
        <v>25.0</v>
      </c>
      <c r="B30" s="18" t="s">
        <v>866</v>
      </c>
      <c r="C30" s="24" t="s">
        <v>16</v>
      </c>
      <c r="D30" s="7"/>
    </row>
    <row r="31">
      <c r="A31" s="16">
        <v>26.0</v>
      </c>
      <c r="B31" s="18" t="s">
        <v>869</v>
      </c>
      <c r="C31" s="24" t="s">
        <v>16</v>
      </c>
      <c r="D31" s="7"/>
    </row>
    <row r="32">
      <c r="A32" s="16">
        <v>27.0</v>
      </c>
      <c r="B32" s="18" t="s">
        <v>871</v>
      </c>
      <c r="C32" s="24" t="s">
        <v>16</v>
      </c>
      <c r="D32" s="7"/>
    </row>
    <row r="33">
      <c r="A33" s="16">
        <v>28.0</v>
      </c>
      <c r="B33" s="18" t="s">
        <v>872</v>
      </c>
      <c r="C33" s="24" t="s">
        <v>16</v>
      </c>
      <c r="D33" s="7"/>
    </row>
    <row r="34">
      <c r="A34" s="16">
        <v>29.0</v>
      </c>
      <c r="B34" s="18" t="s">
        <v>877</v>
      </c>
      <c r="C34" s="24" t="s">
        <v>20</v>
      </c>
      <c r="D34" s="7"/>
    </row>
    <row r="35">
      <c r="A35" s="16">
        <v>30.0</v>
      </c>
      <c r="B35" s="18" t="s">
        <v>878</v>
      </c>
      <c r="C35" s="24" t="s">
        <v>16</v>
      </c>
      <c r="D35" s="7"/>
    </row>
    <row r="36">
      <c r="A36" s="16">
        <v>31.0</v>
      </c>
      <c r="B36" s="18" t="s">
        <v>881</v>
      </c>
      <c r="C36" s="24" t="s">
        <v>16</v>
      </c>
      <c r="D36" s="7"/>
    </row>
    <row r="37">
      <c r="A37" s="16">
        <v>32.0</v>
      </c>
      <c r="B37" s="18" t="s">
        <v>885</v>
      </c>
      <c r="C37" s="24" t="s">
        <v>16</v>
      </c>
      <c r="D37" s="7"/>
    </row>
    <row r="38">
      <c r="A38" s="16">
        <v>33.0</v>
      </c>
      <c r="B38" s="18" t="s">
        <v>889</v>
      </c>
      <c r="C38" s="24" t="s">
        <v>16</v>
      </c>
      <c r="D38" s="7"/>
    </row>
    <row r="39">
      <c r="A39" s="16">
        <v>34.0</v>
      </c>
      <c r="B39" s="18" t="s">
        <v>891</v>
      </c>
      <c r="C39" s="25" t="s">
        <v>16</v>
      </c>
      <c r="D39" s="7"/>
    </row>
    <row r="40">
      <c r="A40" s="16">
        <v>35.0</v>
      </c>
      <c r="B40" s="18" t="s">
        <v>895</v>
      </c>
      <c r="C40" s="24" t="s">
        <v>16</v>
      </c>
      <c r="D40" s="7"/>
    </row>
    <row r="41">
      <c r="A41" s="16">
        <v>36.0</v>
      </c>
      <c r="B41" s="18" t="s">
        <v>899</v>
      </c>
      <c r="C41" s="24" t="s">
        <v>16</v>
      </c>
      <c r="D41" s="7"/>
    </row>
    <row r="42">
      <c r="A42" s="16">
        <v>37.0</v>
      </c>
      <c r="B42" s="18" t="s">
        <v>902</v>
      </c>
      <c r="C42" s="24" t="s">
        <v>16</v>
      </c>
      <c r="D42" s="7"/>
    </row>
    <row r="43">
      <c r="A43" s="16">
        <v>38.0</v>
      </c>
      <c r="B43" s="18" t="s">
        <v>906</v>
      </c>
      <c r="C43" s="24" t="s">
        <v>16</v>
      </c>
      <c r="D43" s="7"/>
    </row>
    <row r="44">
      <c r="A44" s="16">
        <v>39.0</v>
      </c>
      <c r="B44" s="18" t="s">
        <v>910</v>
      </c>
      <c r="C44" s="24" t="s">
        <v>16</v>
      </c>
      <c r="D44" s="7"/>
    </row>
    <row r="45">
      <c r="A45" s="16">
        <v>40.0</v>
      </c>
      <c r="B45" s="18" t="s">
        <v>913</v>
      </c>
      <c r="C45" s="21" t="s">
        <v>16</v>
      </c>
      <c r="D45" s="7"/>
    </row>
    <row r="46">
      <c r="A46" s="16">
        <v>41.0</v>
      </c>
      <c r="B46" s="18" t="s">
        <v>918</v>
      </c>
      <c r="C46" s="21" t="s">
        <v>16</v>
      </c>
      <c r="D46" s="7"/>
    </row>
    <row r="47">
      <c r="A47" s="16">
        <v>42.0</v>
      </c>
      <c r="B47" s="18" t="s">
        <v>922</v>
      </c>
      <c r="C47" s="21" t="s">
        <v>16</v>
      </c>
      <c r="D47" s="7"/>
    </row>
    <row r="48">
      <c r="A48" s="16">
        <v>43.0</v>
      </c>
      <c r="B48" s="18" t="s">
        <v>926</v>
      </c>
      <c r="C48" s="21" t="s">
        <v>16</v>
      </c>
      <c r="D48" s="7"/>
    </row>
    <row r="49">
      <c r="A49" s="16">
        <v>44.0</v>
      </c>
      <c r="B49" s="18" t="s">
        <v>930</v>
      </c>
      <c r="C49" s="21" t="s">
        <v>16</v>
      </c>
      <c r="D49" s="7"/>
    </row>
    <row r="50">
      <c r="A50" s="16">
        <v>45.0</v>
      </c>
      <c r="B50" s="18" t="s">
        <v>935</v>
      </c>
      <c r="C50" s="21" t="s">
        <v>16</v>
      </c>
      <c r="D50" s="7"/>
    </row>
    <row r="51">
      <c r="A51" s="16">
        <v>46.0</v>
      </c>
      <c r="B51" s="18" t="s">
        <v>938</v>
      </c>
      <c r="C51" s="21" t="s">
        <v>16</v>
      </c>
      <c r="D51" s="7"/>
    </row>
    <row r="52">
      <c r="A52" s="28" t="s">
        <v>167</v>
      </c>
      <c r="B52" s="2"/>
      <c r="C52" s="3"/>
      <c r="D52" s="7"/>
    </row>
    <row r="53">
      <c r="A53" s="29" t="s">
        <v>171</v>
      </c>
      <c r="B53" s="2"/>
      <c r="C53" s="3"/>
      <c r="D53" s="30"/>
    </row>
  </sheetData>
  <mergeCells count="7">
    <mergeCell ref="A1:C1"/>
    <mergeCell ref="D1:D53"/>
    <mergeCell ref="A2:C2"/>
    <mergeCell ref="A3:C3"/>
    <mergeCell ref="A4:C4"/>
    <mergeCell ref="A52:C52"/>
    <mergeCell ref="A53:C53"/>
  </mergeCells>
  <conditionalFormatting sqref="C1:C51 D1:D53">
    <cfRule type="containsText" dxfId="0" priority="1" operator="containsText" text="Enrolled">
      <formula>NOT(ISERROR(SEARCH(("Enrolled"),(C1))))</formula>
    </cfRule>
  </conditionalFormatting>
  <conditionalFormatting sqref="C1:C51 D1:D53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856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868</v>
      </c>
      <c r="B3" s="9"/>
      <c r="C3" s="10"/>
      <c r="D3" s="7"/>
    </row>
    <row r="4">
      <c r="A4" s="11" t="s">
        <v>874</v>
      </c>
      <c r="B4" s="2"/>
      <c r="C4" s="3"/>
      <c r="D4" s="7"/>
    </row>
    <row r="5">
      <c r="A5" s="12" t="s">
        <v>11</v>
      </c>
      <c r="B5" s="12" t="s">
        <v>12</v>
      </c>
      <c r="C5" s="39" t="s">
        <v>13</v>
      </c>
      <c r="D5" s="7"/>
    </row>
    <row r="6">
      <c r="A6" s="16">
        <v>1.0</v>
      </c>
      <c r="B6" s="18" t="s">
        <v>882</v>
      </c>
      <c r="C6" s="24" t="s">
        <v>16</v>
      </c>
      <c r="D6" s="7"/>
    </row>
    <row r="7">
      <c r="A7" s="16">
        <v>2.0</v>
      </c>
      <c r="B7" s="18" t="s">
        <v>887</v>
      </c>
      <c r="C7" s="24" t="s">
        <v>16</v>
      </c>
      <c r="D7" s="7"/>
    </row>
    <row r="8">
      <c r="A8" s="16">
        <v>3.0</v>
      </c>
      <c r="B8" s="18" t="s">
        <v>892</v>
      </c>
      <c r="C8" s="24" t="s">
        <v>16</v>
      </c>
      <c r="D8" s="7"/>
    </row>
    <row r="9">
      <c r="A9" s="16">
        <v>4.0</v>
      </c>
      <c r="B9" s="18" t="s">
        <v>896</v>
      </c>
      <c r="C9" s="24" t="s">
        <v>20</v>
      </c>
      <c r="D9" s="7"/>
    </row>
    <row r="10">
      <c r="A10" s="16">
        <v>5.0</v>
      </c>
      <c r="B10" s="18" t="s">
        <v>901</v>
      </c>
      <c r="C10" s="24" t="s">
        <v>16</v>
      </c>
      <c r="D10" s="7"/>
    </row>
    <row r="11">
      <c r="A11" s="16">
        <v>6.0</v>
      </c>
      <c r="B11" s="18" t="s">
        <v>905</v>
      </c>
      <c r="C11" s="24" t="s">
        <v>16</v>
      </c>
      <c r="D11" s="7"/>
    </row>
    <row r="12">
      <c r="A12" s="16">
        <v>7.0</v>
      </c>
      <c r="B12" s="18" t="s">
        <v>909</v>
      </c>
      <c r="C12" s="25" t="s">
        <v>16</v>
      </c>
      <c r="D12" s="7"/>
    </row>
    <row r="13">
      <c r="A13" s="16">
        <v>8.0</v>
      </c>
      <c r="B13" s="18" t="s">
        <v>914</v>
      </c>
      <c r="C13" s="25" t="s">
        <v>16</v>
      </c>
      <c r="D13" s="7"/>
    </row>
    <row r="14">
      <c r="A14" s="16">
        <v>9.0</v>
      </c>
      <c r="B14" s="18" t="s">
        <v>919</v>
      </c>
      <c r="C14" s="24" t="s">
        <v>16</v>
      </c>
      <c r="D14" s="7"/>
    </row>
    <row r="15">
      <c r="A15" s="16">
        <v>10.0</v>
      </c>
      <c r="B15" s="18" t="s">
        <v>923</v>
      </c>
      <c r="C15" s="24" t="s">
        <v>16</v>
      </c>
      <c r="D15" s="7"/>
    </row>
    <row r="16">
      <c r="A16" s="16">
        <v>11.0</v>
      </c>
      <c r="B16" s="18" t="s">
        <v>928</v>
      </c>
      <c r="C16" s="24" t="s">
        <v>16</v>
      </c>
      <c r="D16" s="7"/>
    </row>
    <row r="17">
      <c r="A17" s="16">
        <v>12.0</v>
      </c>
      <c r="B17" s="18" t="s">
        <v>934</v>
      </c>
      <c r="C17" s="24" t="s">
        <v>16</v>
      </c>
      <c r="D17" s="7"/>
    </row>
    <row r="18">
      <c r="A18" s="16">
        <v>13.0</v>
      </c>
      <c r="B18" s="18" t="s">
        <v>939</v>
      </c>
      <c r="C18" s="24" t="s">
        <v>16</v>
      </c>
      <c r="D18" s="7"/>
    </row>
    <row r="19">
      <c r="A19" s="16">
        <v>14.0</v>
      </c>
      <c r="B19" s="18" t="s">
        <v>943</v>
      </c>
      <c r="C19" s="24" t="s">
        <v>16</v>
      </c>
      <c r="D19" s="7"/>
    </row>
    <row r="20">
      <c r="A20" s="16">
        <v>15.0</v>
      </c>
      <c r="B20" s="18" t="s">
        <v>947</v>
      </c>
      <c r="C20" s="24" t="s">
        <v>16</v>
      </c>
      <c r="D20" s="7"/>
    </row>
    <row r="21">
      <c r="A21" s="16">
        <v>16.0</v>
      </c>
      <c r="B21" s="18" t="s">
        <v>950</v>
      </c>
      <c r="C21" s="25" t="s">
        <v>16</v>
      </c>
      <c r="D21" s="7"/>
    </row>
    <row r="22">
      <c r="A22" s="16">
        <v>17.0</v>
      </c>
      <c r="B22" s="18" t="s">
        <v>954</v>
      </c>
      <c r="C22" s="24" t="s">
        <v>16</v>
      </c>
      <c r="D22" s="7"/>
    </row>
    <row r="23">
      <c r="A23" s="16">
        <v>18.0</v>
      </c>
      <c r="B23" s="18" t="s">
        <v>957</v>
      </c>
      <c r="C23" s="24" t="s">
        <v>16</v>
      </c>
      <c r="D23" s="7"/>
    </row>
    <row r="24">
      <c r="A24" s="16">
        <v>19.0</v>
      </c>
      <c r="B24" s="18" t="s">
        <v>963</v>
      </c>
      <c r="C24" s="24" t="s">
        <v>16</v>
      </c>
      <c r="D24" s="7"/>
    </row>
    <row r="25">
      <c r="A25" s="16">
        <v>20.0</v>
      </c>
      <c r="B25" s="18" t="s">
        <v>965</v>
      </c>
      <c r="C25" s="24" t="s">
        <v>16</v>
      </c>
      <c r="D25" s="7"/>
    </row>
    <row r="26">
      <c r="A26" s="16">
        <v>21.0</v>
      </c>
      <c r="B26" s="18" t="s">
        <v>968</v>
      </c>
      <c r="C26" s="24" t="s">
        <v>16</v>
      </c>
      <c r="D26" s="7"/>
    </row>
    <row r="27">
      <c r="A27" s="16">
        <v>22.0</v>
      </c>
      <c r="B27" s="18" t="s">
        <v>972</v>
      </c>
      <c r="C27" s="24" t="s">
        <v>16</v>
      </c>
      <c r="D27" s="7"/>
    </row>
    <row r="28">
      <c r="A28" s="16">
        <v>23.0</v>
      </c>
      <c r="B28" s="18" t="s">
        <v>974</v>
      </c>
      <c r="C28" s="24" t="s">
        <v>20</v>
      </c>
      <c r="D28" s="7"/>
    </row>
    <row r="29">
      <c r="A29" s="16">
        <v>24.0</v>
      </c>
      <c r="B29" s="18" t="s">
        <v>976</v>
      </c>
      <c r="C29" s="24" t="s">
        <v>16</v>
      </c>
      <c r="D29" s="7"/>
    </row>
    <row r="30">
      <c r="A30" s="16">
        <v>25.0</v>
      </c>
      <c r="B30" s="18" t="s">
        <v>978</v>
      </c>
      <c r="C30" s="24" t="s">
        <v>16</v>
      </c>
      <c r="D30" s="7"/>
    </row>
    <row r="31">
      <c r="A31" s="16">
        <v>26.0</v>
      </c>
      <c r="B31" s="18" t="s">
        <v>980</v>
      </c>
      <c r="C31" s="24" t="s">
        <v>16</v>
      </c>
      <c r="D31" s="7"/>
    </row>
    <row r="32">
      <c r="A32" s="16">
        <v>27.0</v>
      </c>
      <c r="B32" s="18" t="s">
        <v>395</v>
      </c>
      <c r="C32" s="24" t="s">
        <v>16</v>
      </c>
      <c r="D32" s="7"/>
    </row>
    <row r="33">
      <c r="A33" s="16">
        <v>28.0</v>
      </c>
      <c r="B33" s="18" t="s">
        <v>985</v>
      </c>
      <c r="C33" s="24" t="s">
        <v>16</v>
      </c>
      <c r="D33" s="7"/>
    </row>
    <row r="34">
      <c r="A34" s="16">
        <v>29.0</v>
      </c>
      <c r="B34" s="18" t="s">
        <v>988</v>
      </c>
      <c r="C34" s="24" t="s">
        <v>20</v>
      </c>
      <c r="D34" s="7"/>
    </row>
    <row r="35">
      <c r="A35" s="16">
        <v>30.0</v>
      </c>
      <c r="B35" s="18" t="s">
        <v>991</v>
      </c>
      <c r="C35" s="24" t="s">
        <v>16</v>
      </c>
      <c r="D35" s="7"/>
    </row>
    <row r="36">
      <c r="A36" s="16">
        <v>31.0</v>
      </c>
      <c r="B36" s="18" t="s">
        <v>994</v>
      </c>
      <c r="C36" s="24" t="s">
        <v>16</v>
      </c>
      <c r="D36" s="7"/>
    </row>
    <row r="37">
      <c r="A37" s="16">
        <v>32.0</v>
      </c>
      <c r="B37" s="18" t="s">
        <v>765</v>
      </c>
      <c r="C37" s="24" t="s">
        <v>16</v>
      </c>
      <c r="D37" s="7"/>
    </row>
    <row r="38">
      <c r="A38" s="16">
        <v>33.0</v>
      </c>
      <c r="B38" s="18" t="s">
        <v>997</v>
      </c>
      <c r="C38" s="24" t="s">
        <v>16</v>
      </c>
      <c r="D38" s="7"/>
    </row>
    <row r="39">
      <c r="A39" s="16">
        <v>34.0</v>
      </c>
      <c r="B39" s="18" t="s">
        <v>1000</v>
      </c>
      <c r="C39" s="25" t="s">
        <v>16</v>
      </c>
      <c r="D39" s="7"/>
    </row>
    <row r="40">
      <c r="A40" s="16">
        <v>35.0</v>
      </c>
      <c r="B40" s="18" t="s">
        <v>1002</v>
      </c>
      <c r="C40" s="24" t="s">
        <v>16</v>
      </c>
      <c r="D40" s="7"/>
    </row>
    <row r="41">
      <c r="A41" s="16">
        <v>36.0</v>
      </c>
      <c r="B41" s="18" t="s">
        <v>1005</v>
      </c>
      <c r="C41" s="24" t="s">
        <v>16</v>
      </c>
      <c r="D41" s="7"/>
    </row>
    <row r="42">
      <c r="A42" s="16">
        <v>37.0</v>
      </c>
      <c r="B42" s="18" t="s">
        <v>1007</v>
      </c>
      <c r="C42" s="24" t="s">
        <v>16</v>
      </c>
      <c r="D42" s="7"/>
    </row>
    <row r="43">
      <c r="A43" s="16">
        <v>38.0</v>
      </c>
      <c r="B43" s="18" t="s">
        <v>1009</v>
      </c>
      <c r="C43" s="24" t="s">
        <v>16</v>
      </c>
      <c r="D43" s="7"/>
    </row>
    <row r="44">
      <c r="A44" s="16">
        <v>39.0</v>
      </c>
      <c r="B44" s="18" t="s">
        <v>1013</v>
      </c>
      <c r="C44" s="24" t="s">
        <v>16</v>
      </c>
      <c r="D44" s="7"/>
    </row>
    <row r="45">
      <c r="A45" s="16">
        <v>40.0</v>
      </c>
      <c r="B45" s="18" t="s">
        <v>1016</v>
      </c>
      <c r="C45" s="21" t="s">
        <v>16</v>
      </c>
      <c r="D45" s="7"/>
    </row>
    <row r="46">
      <c r="A46" s="16">
        <v>41.0</v>
      </c>
      <c r="B46" s="18" t="s">
        <v>1019</v>
      </c>
      <c r="C46" s="21" t="s">
        <v>16</v>
      </c>
      <c r="D46" s="7"/>
    </row>
    <row r="47">
      <c r="A47" s="16">
        <v>42.0</v>
      </c>
      <c r="B47" s="18" t="s">
        <v>1022</v>
      </c>
      <c r="C47" s="21" t="s">
        <v>16</v>
      </c>
      <c r="D47" s="7"/>
    </row>
    <row r="48">
      <c r="A48" s="16">
        <v>43.0</v>
      </c>
      <c r="B48" s="18" t="s">
        <v>1025</v>
      </c>
      <c r="C48" s="21" t="s">
        <v>16</v>
      </c>
      <c r="D48" s="7"/>
    </row>
    <row r="49">
      <c r="A49" s="16">
        <v>44.0</v>
      </c>
      <c r="B49" s="18" t="s">
        <v>762</v>
      </c>
      <c r="C49" s="21" t="s">
        <v>16</v>
      </c>
      <c r="D49" s="7"/>
    </row>
    <row r="50">
      <c r="A50" s="16">
        <v>45.0</v>
      </c>
      <c r="B50" s="18" t="s">
        <v>1030</v>
      </c>
      <c r="C50" s="21" t="s">
        <v>20</v>
      </c>
      <c r="D50" s="7"/>
    </row>
    <row r="51">
      <c r="A51" s="28" t="s">
        <v>167</v>
      </c>
      <c r="B51" s="2"/>
      <c r="C51" s="3"/>
      <c r="D51" s="7"/>
    </row>
    <row r="52">
      <c r="A52" s="29" t="s">
        <v>171</v>
      </c>
      <c r="B52" s="2"/>
      <c r="C52" s="3"/>
      <c r="D52" s="30"/>
    </row>
  </sheetData>
  <mergeCells count="7">
    <mergeCell ref="A1:C1"/>
    <mergeCell ref="D1:D52"/>
    <mergeCell ref="A2:C2"/>
    <mergeCell ref="A3:C3"/>
    <mergeCell ref="A4:C4"/>
    <mergeCell ref="A51:C51"/>
    <mergeCell ref="A52:C52"/>
  </mergeCells>
  <conditionalFormatting sqref="C1:D50">
    <cfRule type="containsText" dxfId="0" priority="1" operator="containsText" text="Enrolled">
      <formula>NOT(ISERROR(SEARCH(("Enrolled"),(C1))))</formula>
    </cfRule>
  </conditionalFormatting>
  <conditionalFormatting sqref="C1:D50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854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863</v>
      </c>
      <c r="B3" s="9"/>
      <c r="C3" s="10"/>
      <c r="D3" s="7"/>
    </row>
    <row r="4">
      <c r="A4" s="11" t="s">
        <v>819</v>
      </c>
      <c r="B4" s="2"/>
      <c r="C4" s="3"/>
      <c r="D4" s="7"/>
    </row>
    <row r="5">
      <c r="A5" s="12" t="s">
        <v>11</v>
      </c>
      <c r="B5" s="12" t="s">
        <v>12</v>
      </c>
      <c r="C5" s="31" t="s">
        <v>13</v>
      </c>
      <c r="D5" s="7"/>
    </row>
    <row r="6">
      <c r="A6" s="16">
        <v>1.0</v>
      </c>
      <c r="B6" s="18" t="s">
        <v>876</v>
      </c>
      <c r="C6" s="24" t="s">
        <v>16</v>
      </c>
      <c r="D6" s="7"/>
    </row>
    <row r="7">
      <c r="A7" s="16">
        <v>2.0</v>
      </c>
      <c r="B7" s="18" t="s">
        <v>880</v>
      </c>
      <c r="C7" s="24" t="s">
        <v>16</v>
      </c>
      <c r="D7" s="7"/>
    </row>
    <row r="8">
      <c r="A8" s="16">
        <v>3.0</v>
      </c>
      <c r="B8" s="18" t="s">
        <v>883</v>
      </c>
      <c r="C8" s="24" t="s">
        <v>16</v>
      </c>
      <c r="D8" s="7"/>
    </row>
    <row r="9">
      <c r="A9" s="16">
        <v>4.0</v>
      </c>
      <c r="B9" s="18" t="s">
        <v>886</v>
      </c>
      <c r="C9" s="24" t="s">
        <v>16</v>
      </c>
      <c r="D9" s="7"/>
    </row>
    <row r="10">
      <c r="A10" s="16">
        <v>5.0</v>
      </c>
      <c r="B10" s="18" t="s">
        <v>890</v>
      </c>
      <c r="C10" s="24" t="s">
        <v>16</v>
      </c>
      <c r="D10" s="7"/>
    </row>
    <row r="11">
      <c r="A11" s="16">
        <v>6.0</v>
      </c>
      <c r="B11" s="18" t="s">
        <v>894</v>
      </c>
      <c r="C11" s="24" t="s">
        <v>16</v>
      </c>
      <c r="D11" s="7"/>
    </row>
    <row r="12">
      <c r="A12" s="16">
        <v>7.0</v>
      </c>
      <c r="B12" s="18" t="s">
        <v>897</v>
      </c>
      <c r="C12" s="25" t="s">
        <v>16</v>
      </c>
      <c r="D12" s="7"/>
    </row>
    <row r="13">
      <c r="A13" s="16">
        <v>8.0</v>
      </c>
      <c r="B13" s="18" t="s">
        <v>900</v>
      </c>
      <c r="C13" s="25" t="s">
        <v>16</v>
      </c>
      <c r="D13" s="7"/>
    </row>
    <row r="14">
      <c r="A14" s="16">
        <v>9.0</v>
      </c>
      <c r="B14" s="18" t="s">
        <v>904</v>
      </c>
      <c r="C14" s="24" t="s">
        <v>16</v>
      </c>
      <c r="D14" s="7"/>
    </row>
    <row r="15">
      <c r="A15" s="16">
        <v>10.0</v>
      </c>
      <c r="B15" s="18" t="s">
        <v>907</v>
      </c>
      <c r="C15" s="24" t="s">
        <v>16</v>
      </c>
      <c r="D15" s="7"/>
    </row>
    <row r="16">
      <c r="A16" s="16">
        <v>11.0</v>
      </c>
      <c r="B16" s="18" t="s">
        <v>911</v>
      </c>
      <c r="C16" s="24" t="s">
        <v>16</v>
      </c>
      <c r="D16" s="7"/>
    </row>
    <row r="17">
      <c r="A17" s="16">
        <v>12.0</v>
      </c>
      <c r="B17" s="18" t="s">
        <v>915</v>
      </c>
      <c r="C17" s="24" t="s">
        <v>16</v>
      </c>
      <c r="D17" s="7"/>
    </row>
    <row r="18">
      <c r="A18" s="16">
        <v>13.0</v>
      </c>
      <c r="B18" s="18" t="s">
        <v>917</v>
      </c>
      <c r="C18" s="24" t="s">
        <v>16</v>
      </c>
      <c r="D18" s="7"/>
    </row>
    <row r="19">
      <c r="A19" s="16">
        <v>14.0</v>
      </c>
      <c r="B19" s="18" t="s">
        <v>921</v>
      </c>
      <c r="C19" s="24" t="s">
        <v>16</v>
      </c>
      <c r="D19" s="7"/>
    </row>
    <row r="20">
      <c r="A20" s="16">
        <v>15.0</v>
      </c>
      <c r="B20" s="18" t="s">
        <v>924</v>
      </c>
      <c r="C20" s="24" t="s">
        <v>16</v>
      </c>
      <c r="D20" s="7"/>
    </row>
    <row r="21">
      <c r="A21" s="16">
        <v>16.0</v>
      </c>
      <c r="B21" s="18" t="s">
        <v>927</v>
      </c>
      <c r="C21" s="25" t="s">
        <v>16</v>
      </c>
      <c r="D21" s="7"/>
    </row>
    <row r="22">
      <c r="A22" s="16">
        <v>17.0</v>
      </c>
      <c r="B22" s="18" t="s">
        <v>931</v>
      </c>
      <c r="C22" s="24" t="s">
        <v>16</v>
      </c>
      <c r="D22" s="7"/>
    </row>
    <row r="23">
      <c r="A23" s="16">
        <v>18.0</v>
      </c>
      <c r="B23" s="18" t="s">
        <v>932</v>
      </c>
      <c r="C23" s="24" t="s">
        <v>16</v>
      </c>
      <c r="D23" s="7"/>
    </row>
    <row r="24">
      <c r="A24" s="16">
        <v>19.0</v>
      </c>
      <c r="B24" s="18" t="s">
        <v>936</v>
      </c>
      <c r="C24" s="24" t="s">
        <v>16</v>
      </c>
      <c r="D24" s="7"/>
    </row>
    <row r="25">
      <c r="A25" s="16">
        <v>20.0</v>
      </c>
      <c r="B25" s="18" t="s">
        <v>940</v>
      </c>
      <c r="C25" s="24" t="s">
        <v>16</v>
      </c>
      <c r="D25" s="7"/>
    </row>
    <row r="26">
      <c r="A26" s="16">
        <v>21.0</v>
      </c>
      <c r="B26" s="18" t="s">
        <v>942</v>
      </c>
      <c r="C26" s="24" t="s">
        <v>16</v>
      </c>
      <c r="D26" s="7"/>
    </row>
    <row r="27">
      <c r="A27" s="16">
        <v>22.0</v>
      </c>
      <c r="B27" s="18" t="s">
        <v>944</v>
      </c>
      <c r="C27" s="24" t="s">
        <v>16</v>
      </c>
      <c r="D27" s="7"/>
    </row>
    <row r="28">
      <c r="A28" s="16">
        <v>23.0</v>
      </c>
      <c r="B28" s="18" t="s">
        <v>946</v>
      </c>
      <c r="C28" s="24" t="s">
        <v>16</v>
      </c>
      <c r="D28" s="7"/>
    </row>
    <row r="29">
      <c r="A29" s="16">
        <v>24.0</v>
      </c>
      <c r="B29" s="18" t="s">
        <v>949</v>
      </c>
      <c r="C29" s="24" t="s">
        <v>16</v>
      </c>
      <c r="D29" s="7"/>
    </row>
    <row r="30">
      <c r="A30" s="16">
        <v>25.0</v>
      </c>
      <c r="B30" s="18" t="s">
        <v>952</v>
      </c>
      <c r="C30" s="24" t="s">
        <v>16</v>
      </c>
      <c r="D30" s="7"/>
    </row>
    <row r="31">
      <c r="A31" s="16">
        <v>26.0</v>
      </c>
      <c r="B31" s="18" t="s">
        <v>955</v>
      </c>
      <c r="C31" s="24" t="s">
        <v>16</v>
      </c>
      <c r="D31" s="7"/>
    </row>
    <row r="32">
      <c r="A32" s="16">
        <v>27.0</v>
      </c>
      <c r="B32" s="18" t="s">
        <v>959</v>
      </c>
      <c r="C32" s="24" t="s">
        <v>16</v>
      </c>
      <c r="D32" s="7"/>
    </row>
    <row r="33">
      <c r="A33" s="16">
        <v>28.0</v>
      </c>
      <c r="B33" s="18" t="s">
        <v>962</v>
      </c>
      <c r="C33" s="24" t="s">
        <v>16</v>
      </c>
      <c r="D33" s="7"/>
    </row>
    <row r="34">
      <c r="A34" s="16">
        <v>29.0</v>
      </c>
      <c r="B34" s="18" t="s">
        <v>964</v>
      </c>
      <c r="C34" s="24" t="s">
        <v>16</v>
      </c>
      <c r="D34" s="7"/>
    </row>
    <row r="35">
      <c r="A35" s="16">
        <v>30.0</v>
      </c>
      <c r="B35" s="18" t="s">
        <v>967</v>
      </c>
      <c r="C35" s="24" t="s">
        <v>16</v>
      </c>
      <c r="D35" s="7"/>
    </row>
    <row r="36">
      <c r="A36" s="16">
        <v>31.0</v>
      </c>
      <c r="B36" s="18" t="s">
        <v>969</v>
      </c>
      <c r="C36" s="24" t="s">
        <v>16</v>
      </c>
      <c r="D36" s="7"/>
    </row>
    <row r="37">
      <c r="A37" s="16">
        <v>32.0</v>
      </c>
      <c r="B37" s="18" t="s">
        <v>971</v>
      </c>
      <c r="C37" s="24" t="s">
        <v>16</v>
      </c>
      <c r="D37" s="7"/>
    </row>
    <row r="38">
      <c r="A38" s="16">
        <v>33.0</v>
      </c>
      <c r="B38" s="18" t="s">
        <v>973</v>
      </c>
      <c r="C38" s="24" t="s">
        <v>16</v>
      </c>
      <c r="D38" s="7"/>
    </row>
    <row r="39">
      <c r="A39" s="16">
        <v>34.0</v>
      </c>
      <c r="B39" s="18" t="s">
        <v>975</v>
      </c>
      <c r="C39" s="25" t="s">
        <v>16</v>
      </c>
      <c r="D39" s="7"/>
    </row>
    <row r="40">
      <c r="A40" s="16">
        <v>35.0</v>
      </c>
      <c r="B40" s="18" t="s">
        <v>977</v>
      </c>
      <c r="C40" s="24" t="s">
        <v>16</v>
      </c>
      <c r="D40" s="7"/>
    </row>
    <row r="41">
      <c r="A41" s="16">
        <v>36.0</v>
      </c>
      <c r="B41" s="18" t="s">
        <v>979</v>
      </c>
      <c r="C41" s="24" t="s">
        <v>16</v>
      </c>
      <c r="D41" s="7"/>
    </row>
    <row r="42">
      <c r="A42" s="16">
        <v>37.0</v>
      </c>
      <c r="B42" s="18" t="s">
        <v>984</v>
      </c>
      <c r="C42" s="24" t="s">
        <v>16</v>
      </c>
      <c r="D42" s="7"/>
    </row>
    <row r="43">
      <c r="A43" s="16">
        <v>38.0</v>
      </c>
      <c r="B43" s="18" t="s">
        <v>987</v>
      </c>
      <c r="C43" s="37" t="s">
        <v>16</v>
      </c>
      <c r="D43" s="7"/>
    </row>
    <row r="44">
      <c r="A44" s="16">
        <v>39.0</v>
      </c>
      <c r="B44" s="18" t="s">
        <v>992</v>
      </c>
      <c r="C44" s="37" t="s">
        <v>16</v>
      </c>
      <c r="D44" s="7"/>
    </row>
    <row r="45">
      <c r="A45" s="16">
        <v>40.0</v>
      </c>
      <c r="B45" s="18" t="s">
        <v>995</v>
      </c>
      <c r="C45" s="42" t="s">
        <v>16</v>
      </c>
      <c r="D45" s="7"/>
    </row>
    <row r="46">
      <c r="A46" s="16">
        <v>41.0</v>
      </c>
      <c r="B46" s="18" t="s">
        <v>999</v>
      </c>
      <c r="C46" s="42" t="s">
        <v>16</v>
      </c>
      <c r="D46" s="7"/>
    </row>
    <row r="47">
      <c r="A47" s="16">
        <v>42.0</v>
      </c>
      <c r="B47" s="18" t="s">
        <v>1001</v>
      </c>
      <c r="C47" s="42" t="s">
        <v>16</v>
      </c>
      <c r="D47" s="7"/>
    </row>
    <row r="48">
      <c r="A48" s="16">
        <v>43.0</v>
      </c>
      <c r="B48" s="18" t="s">
        <v>1004</v>
      </c>
      <c r="C48" s="42" t="s">
        <v>16</v>
      </c>
      <c r="D48" s="7"/>
    </row>
    <row r="49">
      <c r="A49" s="16">
        <v>44.0</v>
      </c>
      <c r="B49" s="18" t="s">
        <v>1008</v>
      </c>
      <c r="C49" s="42" t="s">
        <v>16</v>
      </c>
      <c r="D49" s="7"/>
    </row>
    <row r="50">
      <c r="A50" s="16">
        <v>45.0</v>
      </c>
      <c r="B50" s="18" t="s">
        <v>1011</v>
      </c>
      <c r="C50" s="42" t="s">
        <v>16</v>
      </c>
      <c r="D50" s="7"/>
    </row>
    <row r="51">
      <c r="A51" s="28" t="s">
        <v>167</v>
      </c>
      <c r="B51" s="2"/>
      <c r="C51" s="3"/>
      <c r="D51" s="7"/>
    </row>
    <row r="52">
      <c r="A52" s="29" t="s">
        <v>171</v>
      </c>
      <c r="B52" s="2"/>
      <c r="C52" s="3"/>
      <c r="D52" s="30"/>
    </row>
  </sheetData>
  <mergeCells count="7">
    <mergeCell ref="A1:C1"/>
    <mergeCell ref="D1:D52"/>
    <mergeCell ref="A2:C2"/>
    <mergeCell ref="A3:C3"/>
    <mergeCell ref="A4:C4"/>
    <mergeCell ref="A51:C51"/>
    <mergeCell ref="A52:C52"/>
  </mergeCells>
  <conditionalFormatting sqref="D1:D50 C5:C50">
    <cfRule type="containsText" dxfId="0" priority="1" operator="containsText" text="Enrolled">
      <formula>NOT(ISERROR(SEARCH(("Enrolled"),(D1))))</formula>
    </cfRule>
  </conditionalFormatting>
  <conditionalFormatting sqref="D1:D50 C5:C50">
    <cfRule type="containsText" dxfId="1" priority="2" operator="containsText" text="Enlisted">
      <formula>NOT(ISERROR(SEARCH(("Enlisted"),(D1))))</formula>
    </cfRule>
  </conditionalFormatting>
  <hyperlinks>
    <hyperlink r:id="rId1" ref="A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961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970</v>
      </c>
      <c r="B3" s="9"/>
      <c r="C3" s="10"/>
      <c r="D3" s="7"/>
    </row>
    <row r="4">
      <c r="A4" s="11" t="s">
        <v>822</v>
      </c>
      <c r="B4" s="2"/>
      <c r="C4" s="3"/>
      <c r="D4" s="7"/>
    </row>
    <row r="5">
      <c r="A5" s="12" t="s">
        <v>11</v>
      </c>
      <c r="B5" s="12" t="s">
        <v>12</v>
      </c>
      <c r="C5" s="31" t="s">
        <v>13</v>
      </c>
      <c r="D5" s="7"/>
    </row>
    <row r="6">
      <c r="A6" s="16">
        <v>1.0</v>
      </c>
      <c r="B6" s="18" t="s">
        <v>981</v>
      </c>
      <c r="C6" s="24" t="s">
        <v>16</v>
      </c>
      <c r="D6" s="7"/>
    </row>
    <row r="7">
      <c r="A7" s="16">
        <v>2.0</v>
      </c>
      <c r="B7" s="18" t="s">
        <v>983</v>
      </c>
      <c r="C7" s="24" t="s">
        <v>16</v>
      </c>
      <c r="D7" s="7"/>
    </row>
    <row r="8">
      <c r="A8" s="16">
        <v>3.0</v>
      </c>
      <c r="B8" s="18" t="s">
        <v>986</v>
      </c>
      <c r="C8" s="24" t="s">
        <v>16</v>
      </c>
      <c r="D8" s="7"/>
    </row>
    <row r="9">
      <c r="A9" s="16">
        <v>4.0</v>
      </c>
      <c r="B9" s="18" t="s">
        <v>990</v>
      </c>
      <c r="C9" s="24" t="s">
        <v>16</v>
      </c>
      <c r="D9" s="7"/>
    </row>
    <row r="10">
      <c r="A10" s="16">
        <v>5.0</v>
      </c>
      <c r="B10" s="18" t="s">
        <v>993</v>
      </c>
      <c r="C10" s="24" t="s">
        <v>16</v>
      </c>
      <c r="D10" s="7"/>
    </row>
    <row r="11">
      <c r="A11" s="16">
        <v>6.0</v>
      </c>
      <c r="B11" s="18" t="s">
        <v>996</v>
      </c>
      <c r="C11" s="24" t="s">
        <v>16</v>
      </c>
      <c r="D11" s="7"/>
    </row>
    <row r="12">
      <c r="A12" s="16">
        <v>7.0</v>
      </c>
      <c r="B12" s="18" t="s">
        <v>998</v>
      </c>
      <c r="C12" s="25" t="s">
        <v>16</v>
      </c>
      <c r="D12" s="7"/>
    </row>
    <row r="13">
      <c r="A13" s="16">
        <v>8.0</v>
      </c>
      <c r="B13" s="18" t="s">
        <v>629</v>
      </c>
      <c r="C13" s="25" t="s">
        <v>16</v>
      </c>
      <c r="D13" s="7"/>
    </row>
    <row r="14">
      <c r="A14" s="16">
        <v>9.0</v>
      </c>
      <c r="B14" s="18" t="s">
        <v>1003</v>
      </c>
      <c r="C14" s="24" t="s">
        <v>16</v>
      </c>
      <c r="D14" s="7"/>
    </row>
    <row r="15">
      <c r="A15" s="16">
        <v>10.0</v>
      </c>
      <c r="B15" s="18" t="s">
        <v>1006</v>
      </c>
      <c r="C15" s="24" t="s">
        <v>16</v>
      </c>
      <c r="D15" s="7"/>
    </row>
    <row r="16">
      <c r="A16" s="16">
        <v>11.0</v>
      </c>
      <c r="B16" s="18" t="s">
        <v>1010</v>
      </c>
      <c r="C16" s="24" t="s">
        <v>16</v>
      </c>
      <c r="D16" s="7"/>
    </row>
    <row r="17">
      <c r="A17" s="16">
        <v>12.0</v>
      </c>
      <c r="B17" s="18" t="s">
        <v>1014</v>
      </c>
      <c r="C17" s="24" t="s">
        <v>16</v>
      </c>
      <c r="D17" s="7"/>
    </row>
    <row r="18">
      <c r="A18" s="16">
        <v>13.0</v>
      </c>
      <c r="B18" s="18" t="s">
        <v>1017</v>
      </c>
      <c r="C18" s="24" t="s">
        <v>16</v>
      </c>
      <c r="D18" s="7"/>
    </row>
    <row r="19">
      <c r="A19" s="16">
        <v>14.0</v>
      </c>
      <c r="B19" s="18" t="s">
        <v>1020</v>
      </c>
      <c r="C19" s="24" t="s">
        <v>16</v>
      </c>
      <c r="D19" s="7"/>
    </row>
    <row r="20">
      <c r="A20" s="16">
        <v>15.0</v>
      </c>
      <c r="B20" s="18" t="s">
        <v>1024</v>
      </c>
      <c r="C20" s="24" t="s">
        <v>16</v>
      </c>
      <c r="D20" s="7"/>
    </row>
    <row r="21">
      <c r="A21" s="16">
        <v>16.0</v>
      </c>
      <c r="B21" s="18" t="s">
        <v>1027</v>
      </c>
      <c r="C21" s="25" t="s">
        <v>16</v>
      </c>
      <c r="D21" s="7"/>
    </row>
    <row r="22">
      <c r="A22" s="16">
        <v>17.0</v>
      </c>
      <c r="B22" s="18" t="s">
        <v>1028</v>
      </c>
      <c r="C22" s="24" t="s">
        <v>16</v>
      </c>
      <c r="D22" s="7"/>
    </row>
    <row r="23">
      <c r="A23" s="16">
        <v>18.0</v>
      </c>
      <c r="B23" s="18" t="s">
        <v>1032</v>
      </c>
      <c r="C23" s="24" t="s">
        <v>16</v>
      </c>
      <c r="D23" s="7"/>
    </row>
    <row r="24">
      <c r="A24" s="16">
        <v>19.0</v>
      </c>
      <c r="B24" s="18" t="s">
        <v>1034</v>
      </c>
      <c r="C24" s="24" t="s">
        <v>20</v>
      </c>
      <c r="D24" s="7"/>
    </row>
    <row r="25">
      <c r="A25" s="16">
        <v>20.0</v>
      </c>
      <c r="B25" s="18" t="s">
        <v>693</v>
      </c>
      <c r="C25" s="24" t="s">
        <v>16</v>
      </c>
      <c r="D25" s="7"/>
    </row>
    <row r="26">
      <c r="A26" s="16">
        <v>21.0</v>
      </c>
      <c r="B26" s="18" t="s">
        <v>1036</v>
      </c>
      <c r="C26" s="24" t="s">
        <v>16</v>
      </c>
      <c r="D26" s="7"/>
    </row>
    <row r="27">
      <c r="A27" s="16">
        <v>22.0</v>
      </c>
      <c r="B27" s="18" t="s">
        <v>1038</v>
      </c>
      <c r="C27" s="24" t="s">
        <v>16</v>
      </c>
      <c r="D27" s="7"/>
    </row>
    <row r="28">
      <c r="A28" s="16">
        <v>23.0</v>
      </c>
      <c r="B28" s="18" t="s">
        <v>1041</v>
      </c>
      <c r="C28" s="24" t="s">
        <v>16</v>
      </c>
      <c r="D28" s="7"/>
    </row>
    <row r="29">
      <c r="A29" s="16">
        <v>24.0</v>
      </c>
      <c r="B29" s="18" t="s">
        <v>1043</v>
      </c>
      <c r="C29" s="24" t="s">
        <v>16</v>
      </c>
      <c r="D29" s="7"/>
    </row>
    <row r="30">
      <c r="A30" s="16">
        <v>25.0</v>
      </c>
      <c r="B30" s="18" t="s">
        <v>1045</v>
      </c>
      <c r="C30" s="24" t="s">
        <v>16</v>
      </c>
      <c r="D30" s="7"/>
    </row>
    <row r="31">
      <c r="A31" s="16">
        <v>26.0</v>
      </c>
      <c r="B31" s="18" t="s">
        <v>1047</v>
      </c>
      <c r="C31" s="24" t="s">
        <v>16</v>
      </c>
      <c r="D31" s="7"/>
    </row>
    <row r="32">
      <c r="A32" s="16">
        <v>27.0</v>
      </c>
      <c r="B32" s="18" t="s">
        <v>1051</v>
      </c>
      <c r="C32" s="24" t="s">
        <v>16</v>
      </c>
      <c r="D32" s="7"/>
    </row>
    <row r="33">
      <c r="A33" s="16">
        <v>28.0</v>
      </c>
      <c r="B33" s="18" t="s">
        <v>1053</v>
      </c>
      <c r="C33" s="24" t="s">
        <v>16</v>
      </c>
      <c r="D33" s="7"/>
    </row>
    <row r="34">
      <c r="A34" s="16">
        <v>29.0</v>
      </c>
      <c r="B34" s="18" t="s">
        <v>1055</v>
      </c>
      <c r="C34" s="24" t="s">
        <v>16</v>
      </c>
      <c r="D34" s="7"/>
    </row>
    <row r="35">
      <c r="A35" s="16">
        <v>30.0</v>
      </c>
      <c r="B35" s="18" t="s">
        <v>1058</v>
      </c>
      <c r="C35" s="24" t="s">
        <v>16</v>
      </c>
      <c r="D35" s="7"/>
    </row>
    <row r="36">
      <c r="A36" s="16">
        <v>31.0</v>
      </c>
      <c r="B36" s="18" t="s">
        <v>1062</v>
      </c>
      <c r="C36" s="24" t="s">
        <v>16</v>
      </c>
      <c r="D36" s="7"/>
    </row>
    <row r="37">
      <c r="A37" s="16">
        <v>32.0</v>
      </c>
      <c r="B37" s="18" t="s">
        <v>1066</v>
      </c>
      <c r="C37" s="24" t="s">
        <v>16</v>
      </c>
      <c r="D37" s="7"/>
    </row>
    <row r="38">
      <c r="A38" s="16">
        <v>33.0</v>
      </c>
      <c r="B38" s="18" t="s">
        <v>1068</v>
      </c>
      <c r="C38" s="24" t="s">
        <v>16</v>
      </c>
      <c r="D38" s="7"/>
    </row>
    <row r="39">
      <c r="A39" s="16">
        <v>34.0</v>
      </c>
      <c r="B39" s="18" t="s">
        <v>1072</v>
      </c>
      <c r="C39" s="25" t="s">
        <v>16</v>
      </c>
      <c r="D39" s="7"/>
    </row>
    <row r="40">
      <c r="A40" s="16">
        <v>35.0</v>
      </c>
      <c r="B40" s="18" t="s">
        <v>1075</v>
      </c>
      <c r="C40" s="24" t="s">
        <v>16</v>
      </c>
      <c r="D40" s="7"/>
    </row>
    <row r="41">
      <c r="A41" s="16">
        <v>36.0</v>
      </c>
      <c r="B41" s="18" t="s">
        <v>1078</v>
      </c>
      <c r="C41" s="24" t="s">
        <v>16</v>
      </c>
      <c r="D41" s="7"/>
    </row>
    <row r="42">
      <c r="A42" s="16">
        <v>37.0</v>
      </c>
      <c r="B42" s="18" t="s">
        <v>1081</v>
      </c>
      <c r="C42" s="24" t="s">
        <v>16</v>
      </c>
      <c r="D42" s="7"/>
    </row>
    <row r="43">
      <c r="A43" s="16">
        <v>38.0</v>
      </c>
      <c r="B43" s="18" t="s">
        <v>1083</v>
      </c>
      <c r="C43" s="24" t="s">
        <v>16</v>
      </c>
      <c r="D43" s="7"/>
    </row>
    <row r="44">
      <c r="A44" s="16">
        <v>39.0</v>
      </c>
      <c r="B44" s="18" t="s">
        <v>1087</v>
      </c>
      <c r="C44" s="24" t="s">
        <v>16</v>
      </c>
      <c r="D44" s="7"/>
    </row>
    <row r="45">
      <c r="A45" s="16">
        <v>40.0</v>
      </c>
      <c r="B45" s="18" t="s">
        <v>1089</v>
      </c>
      <c r="C45" s="21" t="s">
        <v>16</v>
      </c>
      <c r="D45" s="7"/>
    </row>
    <row r="46">
      <c r="A46" s="16">
        <v>41.0</v>
      </c>
      <c r="B46" s="18" t="s">
        <v>1093</v>
      </c>
      <c r="C46" s="21" t="s">
        <v>16</v>
      </c>
      <c r="D46" s="7"/>
    </row>
    <row r="47">
      <c r="A47" s="16">
        <v>42.0</v>
      </c>
      <c r="B47" s="18" t="s">
        <v>1096</v>
      </c>
      <c r="C47" s="21" t="s">
        <v>16</v>
      </c>
      <c r="D47" s="7"/>
    </row>
    <row r="48">
      <c r="A48" s="16">
        <v>43.0</v>
      </c>
      <c r="B48" s="18" t="s">
        <v>1099</v>
      </c>
      <c r="C48" s="21" t="s">
        <v>16</v>
      </c>
      <c r="D48" s="7"/>
    </row>
    <row r="49">
      <c r="A49" s="16">
        <v>44.0</v>
      </c>
      <c r="B49" s="18" t="s">
        <v>1103</v>
      </c>
      <c r="C49" s="21" t="s">
        <v>16</v>
      </c>
      <c r="D49" s="7"/>
    </row>
    <row r="50">
      <c r="A50" s="16">
        <v>45.0</v>
      </c>
      <c r="B50" s="18" t="s">
        <v>1107</v>
      </c>
      <c r="C50" s="21" t="s">
        <v>16</v>
      </c>
      <c r="D50" s="7"/>
    </row>
    <row r="51">
      <c r="A51" s="16">
        <v>46.0</v>
      </c>
      <c r="B51" s="18" t="s">
        <v>1110</v>
      </c>
      <c r="C51" s="21" t="s">
        <v>16</v>
      </c>
      <c r="D51" s="7"/>
    </row>
    <row r="52">
      <c r="A52" s="16">
        <v>47.0</v>
      </c>
      <c r="B52" s="18" t="s">
        <v>1112</v>
      </c>
      <c r="C52" s="21" t="s">
        <v>16</v>
      </c>
      <c r="D52" s="7"/>
    </row>
    <row r="53">
      <c r="A53" s="16">
        <v>48.0</v>
      </c>
      <c r="B53" s="18" t="s">
        <v>1114</v>
      </c>
      <c r="C53" s="21" t="s">
        <v>16</v>
      </c>
      <c r="D53" s="7"/>
    </row>
    <row r="54">
      <c r="A54" s="16">
        <v>49.0</v>
      </c>
      <c r="B54" s="18" t="s">
        <v>1117</v>
      </c>
      <c r="C54" s="21" t="s">
        <v>16</v>
      </c>
      <c r="D54" s="7"/>
    </row>
    <row r="55">
      <c r="A55" s="16">
        <v>50.0</v>
      </c>
      <c r="B55" s="18" t="s">
        <v>1121</v>
      </c>
      <c r="C55" s="21" t="s">
        <v>16</v>
      </c>
      <c r="D55" s="7"/>
    </row>
    <row r="56">
      <c r="A56" s="16">
        <v>51.0</v>
      </c>
      <c r="B56" s="18" t="s">
        <v>1124</v>
      </c>
      <c r="C56" s="21" t="s">
        <v>16</v>
      </c>
      <c r="D56" s="7"/>
    </row>
    <row r="57">
      <c r="A57" s="28" t="s">
        <v>167</v>
      </c>
      <c r="B57" s="2"/>
      <c r="C57" s="3"/>
      <c r="D57" s="7"/>
    </row>
    <row r="58">
      <c r="A58" s="29" t="s">
        <v>171</v>
      </c>
      <c r="B58" s="2"/>
      <c r="C58" s="3"/>
      <c r="D58" s="30"/>
    </row>
  </sheetData>
  <mergeCells count="7">
    <mergeCell ref="A1:C1"/>
    <mergeCell ref="D1:D58"/>
    <mergeCell ref="A2:C2"/>
    <mergeCell ref="A3:C3"/>
    <mergeCell ref="A4:C4"/>
    <mergeCell ref="A57:C57"/>
    <mergeCell ref="A58:C58"/>
  </mergeCells>
  <conditionalFormatting sqref="D1:D56 C5:C56">
    <cfRule type="containsText" dxfId="0" priority="1" operator="containsText" text="Enrolled">
      <formula>NOT(ISERROR(SEARCH(("Enrolled"),(D1))))</formula>
    </cfRule>
  </conditionalFormatting>
  <conditionalFormatting sqref="D1:D56 C5:C56">
    <cfRule type="containsText" dxfId="1" priority="2" operator="containsText" text="Enlisted">
      <formula>NOT(ISERROR(SEARCH(("Enlisted"),(D1))))</formula>
    </cfRule>
  </conditionalFormatting>
  <hyperlinks>
    <hyperlink r:id="rId1" ref="A3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</cols>
  <sheetData>
    <row r="1">
      <c r="A1" s="4" t="s">
        <v>982</v>
      </c>
      <c r="B1" s="2"/>
      <c r="C1" s="3"/>
    </row>
    <row r="2">
      <c r="A2" s="6" t="s">
        <v>5</v>
      </c>
      <c r="B2" s="2"/>
      <c r="C2" s="3"/>
    </row>
    <row r="3">
      <c r="A3" s="15" t="s">
        <v>989</v>
      </c>
      <c r="B3" s="9"/>
      <c r="C3" s="10"/>
    </row>
    <row r="4">
      <c r="A4" s="11" t="s">
        <v>874</v>
      </c>
      <c r="B4" s="2"/>
      <c r="C4" s="3"/>
    </row>
    <row r="5">
      <c r="A5" s="12" t="s">
        <v>11</v>
      </c>
      <c r="B5" s="12" t="s">
        <v>12</v>
      </c>
      <c r="C5" s="13" t="s">
        <v>13</v>
      </c>
    </row>
    <row r="6">
      <c r="A6" s="16">
        <v>1.0</v>
      </c>
      <c r="B6" s="18" t="s">
        <v>1012</v>
      </c>
      <c r="C6" s="24" t="s">
        <v>16</v>
      </c>
    </row>
    <row r="7">
      <c r="A7" s="16">
        <v>2.0</v>
      </c>
      <c r="B7" s="18" t="s">
        <v>1015</v>
      </c>
      <c r="C7" s="24" t="s">
        <v>16</v>
      </c>
    </row>
    <row r="8">
      <c r="A8" s="16">
        <v>3.0</v>
      </c>
      <c r="B8" s="18" t="s">
        <v>1018</v>
      </c>
      <c r="C8" s="24" t="s">
        <v>16</v>
      </c>
    </row>
    <row r="9">
      <c r="A9" s="16">
        <v>4.0</v>
      </c>
      <c r="B9" s="18" t="s">
        <v>1021</v>
      </c>
      <c r="C9" s="24" t="s">
        <v>16</v>
      </c>
    </row>
    <row r="10">
      <c r="A10" s="16">
        <v>5.0</v>
      </c>
      <c r="B10" s="18" t="s">
        <v>1023</v>
      </c>
      <c r="C10" s="24" t="s">
        <v>16</v>
      </c>
    </row>
    <row r="11">
      <c r="A11" s="16">
        <v>6.0</v>
      </c>
      <c r="B11" s="18" t="s">
        <v>1026</v>
      </c>
      <c r="C11" s="24" t="s">
        <v>16</v>
      </c>
    </row>
    <row r="12">
      <c r="A12" s="16">
        <v>7.0</v>
      </c>
      <c r="B12" s="18" t="s">
        <v>1029</v>
      </c>
      <c r="C12" s="25" t="s">
        <v>16</v>
      </c>
    </row>
    <row r="13">
      <c r="A13" s="16">
        <v>8.0</v>
      </c>
      <c r="B13" s="18" t="s">
        <v>1033</v>
      </c>
      <c r="C13" s="25" t="s">
        <v>16</v>
      </c>
    </row>
    <row r="14">
      <c r="A14" s="16">
        <v>9.0</v>
      </c>
      <c r="B14" s="18" t="s">
        <v>1035</v>
      </c>
      <c r="C14" s="24" t="s">
        <v>16</v>
      </c>
    </row>
    <row r="15">
      <c r="A15" s="16">
        <v>10.0</v>
      </c>
      <c r="B15" s="18" t="s">
        <v>1037</v>
      </c>
      <c r="C15" s="24" t="s">
        <v>20</v>
      </c>
    </row>
    <row r="16">
      <c r="A16" s="16">
        <v>11.0</v>
      </c>
      <c r="B16" s="18" t="s">
        <v>1039</v>
      </c>
      <c r="C16" s="24" t="s">
        <v>16</v>
      </c>
    </row>
    <row r="17">
      <c r="A17" s="16">
        <v>12.0</v>
      </c>
      <c r="B17" s="18" t="s">
        <v>1042</v>
      </c>
      <c r="C17" s="24" t="s">
        <v>16</v>
      </c>
    </row>
    <row r="18">
      <c r="A18" s="16">
        <v>13.0</v>
      </c>
      <c r="B18" s="18" t="s">
        <v>1044</v>
      </c>
      <c r="C18" s="24" t="s">
        <v>20</v>
      </c>
    </row>
    <row r="19">
      <c r="A19" s="16">
        <v>14.0</v>
      </c>
      <c r="B19" s="18" t="s">
        <v>1046</v>
      </c>
      <c r="C19" s="24" t="s">
        <v>16</v>
      </c>
    </row>
    <row r="20">
      <c r="A20" s="16">
        <v>15.0</v>
      </c>
      <c r="B20" s="18" t="s">
        <v>1049</v>
      </c>
      <c r="C20" s="24" t="s">
        <v>16</v>
      </c>
    </row>
    <row r="21">
      <c r="A21" s="16">
        <v>16.0</v>
      </c>
      <c r="B21" s="18" t="s">
        <v>1052</v>
      </c>
      <c r="C21" s="25" t="s">
        <v>16</v>
      </c>
    </row>
    <row r="22">
      <c r="A22" s="16">
        <v>17.0</v>
      </c>
      <c r="B22" s="18" t="s">
        <v>1054</v>
      </c>
      <c r="C22" s="24" t="s">
        <v>16</v>
      </c>
    </row>
    <row r="23">
      <c r="A23" s="16">
        <v>18.0</v>
      </c>
      <c r="B23" s="18" t="s">
        <v>1056</v>
      </c>
      <c r="C23" s="24" t="s">
        <v>16</v>
      </c>
    </row>
    <row r="24">
      <c r="A24" s="16">
        <v>19.0</v>
      </c>
      <c r="B24" s="18" t="s">
        <v>1060</v>
      </c>
      <c r="C24" s="24" t="s">
        <v>20</v>
      </c>
    </row>
    <row r="25">
      <c r="A25" s="16">
        <v>20.0</v>
      </c>
      <c r="B25" s="18" t="s">
        <v>1063</v>
      </c>
      <c r="C25" s="24" t="s">
        <v>16</v>
      </c>
    </row>
    <row r="26">
      <c r="A26" s="16">
        <v>21.0</v>
      </c>
      <c r="B26" s="18" t="s">
        <v>1065</v>
      </c>
      <c r="C26" s="24" t="s">
        <v>16</v>
      </c>
    </row>
    <row r="27">
      <c r="A27" s="16">
        <v>22.0</v>
      </c>
      <c r="B27" s="18" t="s">
        <v>1069</v>
      </c>
      <c r="C27" s="24" t="s">
        <v>16</v>
      </c>
    </row>
    <row r="28">
      <c r="A28" s="16">
        <v>23.0</v>
      </c>
      <c r="B28" s="18" t="s">
        <v>1073</v>
      </c>
      <c r="C28" s="24" t="s">
        <v>16</v>
      </c>
    </row>
    <row r="29">
      <c r="A29" s="16">
        <v>24.0</v>
      </c>
      <c r="B29" s="18" t="s">
        <v>1077</v>
      </c>
      <c r="C29" s="24" t="s">
        <v>16</v>
      </c>
    </row>
    <row r="30">
      <c r="A30" s="16">
        <v>25.0</v>
      </c>
      <c r="B30" s="18" t="s">
        <v>1080</v>
      </c>
      <c r="C30" s="24" t="s">
        <v>16</v>
      </c>
    </row>
    <row r="31">
      <c r="A31" s="16">
        <v>26.0</v>
      </c>
      <c r="B31" s="18" t="s">
        <v>1085</v>
      </c>
      <c r="C31" s="24" t="s">
        <v>16</v>
      </c>
    </row>
    <row r="32">
      <c r="A32" s="16">
        <v>27.0</v>
      </c>
      <c r="B32" s="18" t="s">
        <v>1088</v>
      </c>
      <c r="C32" s="24" t="s">
        <v>16</v>
      </c>
    </row>
    <row r="33">
      <c r="A33" s="16">
        <v>28.0</v>
      </c>
      <c r="B33" s="18" t="s">
        <v>1092</v>
      </c>
      <c r="C33" s="24" t="s">
        <v>16</v>
      </c>
    </row>
    <row r="34">
      <c r="A34" s="16">
        <v>29.0</v>
      </c>
      <c r="B34" s="18" t="s">
        <v>1098</v>
      </c>
      <c r="C34" s="24" t="s">
        <v>16</v>
      </c>
    </row>
    <row r="35">
      <c r="A35" s="16">
        <v>30.0</v>
      </c>
      <c r="B35" s="18" t="s">
        <v>1102</v>
      </c>
      <c r="C35" s="24" t="s">
        <v>16</v>
      </c>
    </row>
    <row r="36">
      <c r="A36" s="16">
        <v>31.0</v>
      </c>
      <c r="B36" s="18" t="s">
        <v>1106</v>
      </c>
      <c r="C36" s="24" t="s">
        <v>16</v>
      </c>
    </row>
    <row r="37">
      <c r="A37" s="16">
        <v>32.0</v>
      </c>
      <c r="B37" s="18" t="s">
        <v>1109</v>
      </c>
      <c r="C37" s="44" t="s">
        <v>16</v>
      </c>
    </row>
    <row r="38">
      <c r="A38" s="16">
        <v>33.0</v>
      </c>
      <c r="B38" s="18" t="s">
        <v>1115</v>
      </c>
      <c r="C38" s="44" t="s">
        <v>16</v>
      </c>
    </row>
    <row r="39">
      <c r="A39" s="16">
        <v>34.0</v>
      </c>
      <c r="B39" s="18" t="s">
        <v>1118</v>
      </c>
      <c r="C39" s="45" t="s">
        <v>16</v>
      </c>
    </row>
    <row r="40">
      <c r="A40" s="16">
        <v>35.0</v>
      </c>
      <c r="B40" s="18" t="s">
        <v>1125</v>
      </c>
      <c r="C40" s="44" t="s">
        <v>20</v>
      </c>
    </row>
    <row r="41">
      <c r="A41" s="16">
        <v>36.0</v>
      </c>
      <c r="B41" s="18" t="s">
        <v>1127</v>
      </c>
      <c r="C41" s="44" t="s">
        <v>16</v>
      </c>
    </row>
    <row r="42">
      <c r="A42" s="16">
        <v>37.0</v>
      </c>
      <c r="B42" s="18" t="s">
        <v>1130</v>
      </c>
      <c r="C42" s="44" t="s">
        <v>16</v>
      </c>
    </row>
    <row r="43">
      <c r="A43" s="16">
        <v>38.0</v>
      </c>
      <c r="B43" s="40"/>
      <c r="C43" s="44"/>
    </row>
    <row r="44">
      <c r="A44" s="16">
        <v>39.0</v>
      </c>
      <c r="B44" s="40"/>
      <c r="C44" s="44"/>
    </row>
    <row r="45">
      <c r="A45" s="16">
        <v>40.0</v>
      </c>
      <c r="B45" s="40"/>
      <c r="C45" s="46"/>
    </row>
    <row r="46">
      <c r="A46" s="16">
        <v>41.0</v>
      </c>
      <c r="B46" s="40"/>
      <c r="C46" s="46"/>
    </row>
    <row r="47">
      <c r="A47" s="16">
        <v>42.0</v>
      </c>
      <c r="B47" s="40"/>
      <c r="C47" s="46"/>
    </row>
    <row r="48">
      <c r="A48" s="16">
        <v>43.0</v>
      </c>
      <c r="B48" s="40"/>
      <c r="C48" s="46"/>
    </row>
    <row r="49">
      <c r="A49" s="16">
        <v>44.0</v>
      </c>
      <c r="B49" s="40"/>
      <c r="C49" s="46"/>
    </row>
    <row r="50">
      <c r="A50" s="16">
        <v>45.0</v>
      </c>
      <c r="B50" s="40"/>
      <c r="C50" s="46"/>
    </row>
    <row r="51">
      <c r="A51" s="28" t="s">
        <v>167</v>
      </c>
      <c r="B51" s="2"/>
      <c r="C51" s="3"/>
    </row>
    <row r="52">
      <c r="A52" s="29" t="s">
        <v>171</v>
      </c>
      <c r="B52" s="2"/>
      <c r="C52" s="3"/>
    </row>
  </sheetData>
  <mergeCells count="6">
    <mergeCell ref="A1:C1"/>
    <mergeCell ref="A2:C2"/>
    <mergeCell ref="A3:C3"/>
    <mergeCell ref="A4:C4"/>
    <mergeCell ref="A51:C51"/>
    <mergeCell ref="A52:C52"/>
  </mergeCells>
  <conditionalFormatting sqref="C5:C50">
    <cfRule type="containsText" dxfId="0" priority="1" operator="containsText" text="Enrolled">
      <formula>NOT(ISERROR(SEARCH(("Enrolled"),(C5))))</formula>
    </cfRule>
  </conditionalFormatting>
  <conditionalFormatting sqref="C5:C50">
    <cfRule type="containsText" dxfId="1" priority="2" operator="containsText" text="Enlisted">
      <formula>NOT(ISERROR(SEARCH(("Enlisted"),(C5))))</formula>
    </cfRule>
  </conditionalFormatting>
  <hyperlinks>
    <hyperlink r:id="rId1" ref="A3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1031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1040</v>
      </c>
      <c r="B3" s="9"/>
      <c r="C3" s="10"/>
      <c r="D3" s="7"/>
    </row>
    <row r="4">
      <c r="A4" s="11" t="s">
        <v>1050</v>
      </c>
      <c r="B4" s="2"/>
      <c r="C4" s="3"/>
      <c r="D4" s="7"/>
    </row>
    <row r="5">
      <c r="A5" s="12" t="s">
        <v>11</v>
      </c>
      <c r="B5" s="12" t="s">
        <v>12</v>
      </c>
      <c r="C5" s="36" t="s">
        <v>13</v>
      </c>
      <c r="D5" s="7"/>
    </row>
    <row r="6">
      <c r="A6" s="16">
        <v>1.0</v>
      </c>
      <c r="B6" s="18" t="s">
        <v>1057</v>
      </c>
      <c r="C6" s="24" t="s">
        <v>16</v>
      </c>
      <c r="D6" s="7"/>
    </row>
    <row r="7">
      <c r="A7" s="16">
        <v>2.0</v>
      </c>
      <c r="B7" s="18" t="s">
        <v>1061</v>
      </c>
      <c r="C7" s="24" t="s">
        <v>20</v>
      </c>
      <c r="D7" s="7"/>
    </row>
    <row r="8">
      <c r="A8" s="16">
        <v>3.0</v>
      </c>
      <c r="B8" s="18" t="s">
        <v>1064</v>
      </c>
      <c r="C8" s="24" t="s">
        <v>20</v>
      </c>
      <c r="D8" s="7"/>
    </row>
    <row r="9">
      <c r="A9" s="16">
        <v>4.0</v>
      </c>
      <c r="B9" s="18" t="s">
        <v>1067</v>
      </c>
      <c r="C9" s="24" t="s">
        <v>20</v>
      </c>
      <c r="D9" s="7"/>
    </row>
    <row r="10">
      <c r="A10" s="16">
        <v>5.0</v>
      </c>
      <c r="B10" s="18" t="s">
        <v>1070</v>
      </c>
      <c r="C10" s="24" t="s">
        <v>20</v>
      </c>
      <c r="D10" s="7"/>
    </row>
    <row r="11">
      <c r="A11" s="16">
        <v>6.0</v>
      </c>
      <c r="B11" s="18" t="s">
        <v>1074</v>
      </c>
      <c r="C11" s="24" t="s">
        <v>16</v>
      </c>
      <c r="D11" s="7"/>
    </row>
    <row r="12">
      <c r="A12" s="16">
        <v>7.0</v>
      </c>
      <c r="B12" s="18" t="s">
        <v>1076</v>
      </c>
      <c r="C12" s="25" t="s">
        <v>20</v>
      </c>
      <c r="D12" s="7"/>
    </row>
    <row r="13">
      <c r="A13" s="16">
        <v>8.0</v>
      </c>
      <c r="B13" s="18" t="s">
        <v>1079</v>
      </c>
      <c r="C13" s="25" t="s">
        <v>16</v>
      </c>
      <c r="D13" s="7"/>
    </row>
    <row r="14">
      <c r="A14" s="16">
        <v>9.0</v>
      </c>
      <c r="B14" s="18" t="s">
        <v>1082</v>
      </c>
      <c r="C14" s="24" t="s">
        <v>16</v>
      </c>
      <c r="D14" s="7"/>
    </row>
    <row r="15">
      <c r="A15" s="16">
        <v>10.0</v>
      </c>
      <c r="B15" s="18" t="s">
        <v>1086</v>
      </c>
      <c r="C15" s="24" t="s">
        <v>20</v>
      </c>
      <c r="D15" s="7"/>
    </row>
    <row r="16">
      <c r="A16" s="16">
        <v>11.0</v>
      </c>
      <c r="B16" s="18" t="s">
        <v>1090</v>
      </c>
      <c r="C16" s="24" t="s">
        <v>16</v>
      </c>
      <c r="D16" s="7"/>
    </row>
    <row r="17">
      <c r="A17" s="16">
        <v>12.0</v>
      </c>
      <c r="B17" s="18" t="s">
        <v>1094</v>
      </c>
      <c r="C17" s="24" t="s">
        <v>16</v>
      </c>
      <c r="D17" s="7"/>
    </row>
    <row r="18">
      <c r="A18" s="16">
        <v>13.0</v>
      </c>
      <c r="B18" s="18" t="s">
        <v>1097</v>
      </c>
      <c r="C18" s="24" t="s">
        <v>16</v>
      </c>
      <c r="D18" s="7"/>
    </row>
    <row r="19">
      <c r="A19" s="16">
        <v>14.0</v>
      </c>
      <c r="B19" s="18" t="s">
        <v>1101</v>
      </c>
      <c r="C19" s="24" t="s">
        <v>16</v>
      </c>
      <c r="D19" s="7"/>
    </row>
    <row r="20">
      <c r="A20" s="16">
        <v>15.0</v>
      </c>
      <c r="B20" s="18" t="s">
        <v>1105</v>
      </c>
      <c r="C20" s="24" t="s">
        <v>20</v>
      </c>
      <c r="D20" s="7"/>
    </row>
    <row r="21">
      <c r="A21" s="16">
        <v>16.0</v>
      </c>
      <c r="B21" s="18" t="s">
        <v>1113</v>
      </c>
      <c r="C21" s="25" t="s">
        <v>20</v>
      </c>
      <c r="D21" s="7"/>
    </row>
    <row r="22">
      <c r="A22" s="16">
        <v>17.0</v>
      </c>
      <c r="B22" s="18" t="s">
        <v>1116</v>
      </c>
      <c r="C22" s="24" t="s">
        <v>16</v>
      </c>
      <c r="D22" s="7"/>
    </row>
    <row r="23">
      <c r="A23" s="16">
        <v>18.0</v>
      </c>
      <c r="B23" s="18" t="s">
        <v>1120</v>
      </c>
      <c r="C23" s="24" t="s">
        <v>16</v>
      </c>
      <c r="D23" s="7"/>
    </row>
    <row r="24">
      <c r="A24" s="16">
        <v>19.0</v>
      </c>
      <c r="B24" s="18" t="s">
        <v>1122</v>
      </c>
      <c r="C24" s="24" t="s">
        <v>20</v>
      </c>
      <c r="D24" s="7"/>
    </row>
    <row r="25">
      <c r="A25" s="16">
        <v>20.0</v>
      </c>
      <c r="B25" s="18" t="s">
        <v>1126</v>
      </c>
      <c r="C25" s="24" t="s">
        <v>20</v>
      </c>
      <c r="D25" s="7"/>
    </row>
    <row r="26">
      <c r="A26" s="16">
        <v>21.0</v>
      </c>
      <c r="B26" s="18" t="s">
        <v>1129</v>
      </c>
      <c r="C26" s="24" t="s">
        <v>20</v>
      </c>
      <c r="D26" s="7"/>
    </row>
    <row r="27">
      <c r="A27" s="16">
        <v>22.0</v>
      </c>
      <c r="B27" s="18" t="s">
        <v>1131</v>
      </c>
      <c r="C27" s="24" t="s">
        <v>20</v>
      </c>
      <c r="D27" s="7"/>
    </row>
    <row r="28">
      <c r="A28" s="16">
        <v>23.0</v>
      </c>
      <c r="B28" s="18" t="s">
        <v>1133</v>
      </c>
      <c r="C28" s="24" t="s">
        <v>16</v>
      </c>
      <c r="D28" s="7"/>
    </row>
    <row r="29">
      <c r="A29" s="16">
        <v>24.0</v>
      </c>
      <c r="B29" s="18" t="s">
        <v>1135</v>
      </c>
      <c r="C29" s="24" t="s">
        <v>16</v>
      </c>
      <c r="D29" s="7"/>
    </row>
    <row r="30">
      <c r="A30" s="16">
        <v>25.0</v>
      </c>
      <c r="B30" s="18" t="s">
        <v>1136</v>
      </c>
      <c r="C30" s="24" t="s">
        <v>20</v>
      </c>
      <c r="D30" s="7"/>
    </row>
    <row r="31">
      <c r="A31" s="16">
        <v>26.0</v>
      </c>
      <c r="B31" s="18" t="s">
        <v>1138</v>
      </c>
      <c r="C31" s="24" t="s">
        <v>20</v>
      </c>
      <c r="D31" s="7"/>
    </row>
    <row r="32">
      <c r="A32" s="16">
        <v>27.0</v>
      </c>
      <c r="B32" s="18" t="s">
        <v>1140</v>
      </c>
      <c r="C32" s="24" t="s">
        <v>16</v>
      </c>
      <c r="D32" s="7"/>
    </row>
    <row r="33">
      <c r="A33" s="16">
        <v>28.0</v>
      </c>
      <c r="B33" s="18" t="s">
        <v>1142</v>
      </c>
      <c r="C33" s="24" t="s">
        <v>16</v>
      </c>
      <c r="D33" s="7"/>
    </row>
    <row r="34">
      <c r="A34" s="16">
        <v>29.0</v>
      </c>
      <c r="B34" s="18" t="s">
        <v>1145</v>
      </c>
      <c r="C34" s="24" t="s">
        <v>20</v>
      </c>
      <c r="D34" s="7"/>
    </row>
    <row r="35">
      <c r="A35" s="16">
        <v>30.0</v>
      </c>
      <c r="B35" s="18" t="s">
        <v>1147</v>
      </c>
      <c r="C35" s="24" t="s">
        <v>16</v>
      </c>
      <c r="D35" s="7"/>
    </row>
    <row r="36">
      <c r="A36" s="16">
        <v>31.0</v>
      </c>
      <c r="B36" s="18" t="s">
        <v>1148</v>
      </c>
      <c r="C36" s="24" t="s">
        <v>20</v>
      </c>
      <c r="D36" s="7"/>
    </row>
    <row r="37">
      <c r="A37" s="16">
        <v>32.0</v>
      </c>
      <c r="B37" s="18" t="s">
        <v>1150</v>
      </c>
      <c r="C37" s="24" t="s">
        <v>20</v>
      </c>
      <c r="D37" s="7"/>
    </row>
    <row r="38">
      <c r="A38" s="16">
        <v>33.0</v>
      </c>
      <c r="B38" s="18" t="s">
        <v>1153</v>
      </c>
      <c r="C38" s="24" t="s">
        <v>20</v>
      </c>
      <c r="D38" s="7"/>
    </row>
    <row r="39">
      <c r="A39" s="16">
        <v>34.0</v>
      </c>
      <c r="B39" s="18" t="s">
        <v>1154</v>
      </c>
      <c r="C39" s="25" t="s">
        <v>20</v>
      </c>
      <c r="D39" s="7"/>
    </row>
    <row r="40">
      <c r="A40" s="16">
        <v>35.0</v>
      </c>
      <c r="B40" s="18" t="s">
        <v>877</v>
      </c>
      <c r="C40" s="24" t="s">
        <v>20</v>
      </c>
      <c r="D40" s="7"/>
    </row>
    <row r="41">
      <c r="A41" s="16">
        <v>36.0</v>
      </c>
      <c r="B41" s="18" t="s">
        <v>1158</v>
      </c>
      <c r="C41" s="24" t="s">
        <v>20</v>
      </c>
      <c r="D41" s="7"/>
    </row>
    <row r="42">
      <c r="A42" s="16">
        <v>37.0</v>
      </c>
      <c r="B42" s="18" t="s">
        <v>1160</v>
      </c>
      <c r="C42" s="24" t="s">
        <v>20</v>
      </c>
      <c r="D42" s="7"/>
    </row>
    <row r="43">
      <c r="A43" s="16">
        <v>38.0</v>
      </c>
      <c r="B43" s="18" t="s">
        <v>1161</v>
      </c>
      <c r="C43" s="24" t="s">
        <v>20</v>
      </c>
      <c r="D43" s="7"/>
    </row>
    <row r="44">
      <c r="A44" s="16">
        <v>39.0</v>
      </c>
      <c r="B44" s="18" t="s">
        <v>1164</v>
      </c>
      <c r="C44" s="24" t="s">
        <v>20</v>
      </c>
      <c r="D44" s="7"/>
    </row>
    <row r="45">
      <c r="A45" s="16">
        <v>40.0</v>
      </c>
      <c r="B45" s="18" t="s">
        <v>1166</v>
      </c>
      <c r="C45" s="21" t="s">
        <v>16</v>
      </c>
      <c r="D45" s="7"/>
    </row>
    <row r="46">
      <c r="A46" s="16">
        <v>41.0</v>
      </c>
      <c r="B46" s="18" t="s">
        <v>1170</v>
      </c>
      <c r="C46" s="21" t="s">
        <v>16</v>
      </c>
      <c r="D46" s="7"/>
    </row>
    <row r="47">
      <c r="A47" s="16">
        <v>42.0</v>
      </c>
      <c r="B47" s="18" t="s">
        <v>1173</v>
      </c>
      <c r="C47" s="21" t="s">
        <v>20</v>
      </c>
      <c r="D47" s="7"/>
    </row>
    <row r="48">
      <c r="A48" s="16">
        <v>43.0</v>
      </c>
      <c r="B48" s="18" t="s">
        <v>1176</v>
      </c>
      <c r="C48" s="21" t="s">
        <v>16</v>
      </c>
      <c r="D48" s="7"/>
    </row>
    <row r="49">
      <c r="A49" s="16">
        <v>44.0</v>
      </c>
      <c r="B49" s="18" t="s">
        <v>1179</v>
      </c>
      <c r="C49" s="21" t="s">
        <v>16</v>
      </c>
      <c r="D49" s="7"/>
    </row>
    <row r="50">
      <c r="A50" s="16">
        <v>45.0</v>
      </c>
      <c r="B50" s="18" t="s">
        <v>1183</v>
      </c>
      <c r="C50" s="21" t="s">
        <v>16</v>
      </c>
      <c r="D50" s="7"/>
    </row>
    <row r="51">
      <c r="A51" s="16">
        <v>46.0</v>
      </c>
      <c r="B51" s="18" t="s">
        <v>1186</v>
      </c>
      <c r="C51" s="21" t="s">
        <v>20</v>
      </c>
      <c r="D51" s="7"/>
    </row>
    <row r="52">
      <c r="A52" s="16">
        <v>47.0</v>
      </c>
      <c r="B52" s="18" t="s">
        <v>1188</v>
      </c>
      <c r="C52" s="21" t="s">
        <v>16</v>
      </c>
      <c r="D52" s="7"/>
    </row>
    <row r="53">
      <c r="A53" s="16">
        <v>48.0</v>
      </c>
      <c r="B53" s="43" t="s">
        <v>1191</v>
      </c>
      <c r="C53" s="21" t="s">
        <v>16</v>
      </c>
      <c r="D53" s="7"/>
    </row>
    <row r="54">
      <c r="A54" s="16">
        <v>49.0</v>
      </c>
      <c r="B54" s="43" t="s">
        <v>1194</v>
      </c>
      <c r="C54" s="21" t="s">
        <v>16</v>
      </c>
      <c r="D54" s="7"/>
    </row>
    <row r="55">
      <c r="A55" s="16">
        <v>50.0</v>
      </c>
      <c r="B55" s="43" t="s">
        <v>1196</v>
      </c>
      <c r="C55" s="21" t="s">
        <v>16</v>
      </c>
      <c r="D55" s="7"/>
    </row>
    <row r="56">
      <c r="A56" s="16">
        <v>51.0</v>
      </c>
      <c r="B56" s="43" t="s">
        <v>1197</v>
      </c>
      <c r="C56" s="21" t="s">
        <v>20</v>
      </c>
      <c r="D56" s="7"/>
    </row>
    <row r="57">
      <c r="A57" s="16">
        <v>52.0</v>
      </c>
      <c r="B57" s="43" t="s">
        <v>1200</v>
      </c>
      <c r="C57" s="21" t="s">
        <v>16</v>
      </c>
      <c r="D57" s="7"/>
    </row>
    <row r="58">
      <c r="A58" s="16">
        <v>53.0</v>
      </c>
      <c r="B58" s="43" t="s">
        <v>1203</v>
      </c>
      <c r="C58" s="21" t="s">
        <v>20</v>
      </c>
      <c r="D58" s="7"/>
    </row>
    <row r="59">
      <c r="A59" s="16">
        <v>54.0</v>
      </c>
      <c r="B59" s="43" t="s">
        <v>1206</v>
      </c>
      <c r="C59" s="21" t="s">
        <v>20</v>
      </c>
      <c r="D59" s="7"/>
    </row>
    <row r="60">
      <c r="A60" s="28" t="s">
        <v>167</v>
      </c>
      <c r="B60" s="2"/>
      <c r="C60" s="3"/>
      <c r="D60" s="7"/>
    </row>
    <row r="61">
      <c r="A61" s="29" t="s">
        <v>171</v>
      </c>
      <c r="B61" s="2"/>
      <c r="C61" s="3"/>
      <c r="D61" s="30"/>
    </row>
  </sheetData>
  <mergeCells count="7">
    <mergeCell ref="A1:C1"/>
    <mergeCell ref="D1:D61"/>
    <mergeCell ref="A2:C2"/>
    <mergeCell ref="A3:C3"/>
    <mergeCell ref="A4:C4"/>
    <mergeCell ref="A60:C60"/>
    <mergeCell ref="A61:C61"/>
  </mergeCells>
  <conditionalFormatting sqref="C1:D59">
    <cfRule type="containsText" dxfId="0" priority="1" operator="containsText" text="Enrolled">
      <formula>NOT(ISERROR(SEARCH(("Enrolled"),(C1))))</formula>
    </cfRule>
  </conditionalFormatting>
  <conditionalFormatting sqref="C1:D59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1048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1059</v>
      </c>
      <c r="B3" s="9"/>
      <c r="C3" s="10"/>
      <c r="D3" s="7"/>
    </row>
    <row r="4">
      <c r="A4" s="11" t="s">
        <v>1071</v>
      </c>
      <c r="B4" s="2"/>
      <c r="C4" s="3"/>
      <c r="D4" s="7"/>
    </row>
    <row r="5">
      <c r="A5" s="12" t="s">
        <v>11</v>
      </c>
      <c r="B5" s="12" t="s">
        <v>12</v>
      </c>
      <c r="C5" s="13" t="s">
        <v>13</v>
      </c>
      <c r="D5" s="7"/>
    </row>
    <row r="6">
      <c r="A6" s="16">
        <v>1.0</v>
      </c>
      <c r="B6" s="43" t="s">
        <v>1084</v>
      </c>
      <c r="C6" s="24" t="s">
        <v>20</v>
      </c>
      <c r="D6" s="7"/>
    </row>
    <row r="7">
      <c r="A7" s="16">
        <v>2.0</v>
      </c>
      <c r="B7" s="43" t="s">
        <v>1091</v>
      </c>
      <c r="C7" s="25" t="s">
        <v>16</v>
      </c>
      <c r="D7" s="7"/>
    </row>
    <row r="8">
      <c r="A8" s="16">
        <v>3.0</v>
      </c>
      <c r="B8" s="43" t="s">
        <v>1095</v>
      </c>
      <c r="C8" s="24" t="s">
        <v>16</v>
      </c>
      <c r="D8" s="7"/>
    </row>
    <row r="9">
      <c r="A9" s="16">
        <v>4.0</v>
      </c>
      <c r="B9" s="43" t="s">
        <v>1100</v>
      </c>
      <c r="C9" s="24" t="s">
        <v>16</v>
      </c>
      <c r="D9" s="7"/>
    </row>
    <row r="10">
      <c r="A10" s="16">
        <v>5.0</v>
      </c>
      <c r="B10" s="43" t="s">
        <v>1104</v>
      </c>
      <c r="C10" s="24" t="s">
        <v>16</v>
      </c>
      <c r="D10" s="7"/>
    </row>
    <row r="11">
      <c r="A11" s="16">
        <v>6.0</v>
      </c>
      <c r="B11" s="43" t="s">
        <v>1108</v>
      </c>
      <c r="C11" s="24" t="s">
        <v>20</v>
      </c>
      <c r="D11" s="7"/>
    </row>
    <row r="12">
      <c r="A12" s="16">
        <v>7.0</v>
      </c>
      <c r="B12" s="43" t="s">
        <v>1111</v>
      </c>
      <c r="C12" s="25" t="s">
        <v>20</v>
      </c>
      <c r="D12" s="7"/>
    </row>
    <row r="13">
      <c r="A13" s="16">
        <v>8.0</v>
      </c>
      <c r="B13" s="43" t="s">
        <v>681</v>
      </c>
      <c r="C13" s="25" t="s">
        <v>16</v>
      </c>
      <c r="D13" s="7"/>
    </row>
    <row r="14">
      <c r="A14" s="16">
        <v>9.0</v>
      </c>
      <c r="B14" s="43" t="s">
        <v>1119</v>
      </c>
      <c r="C14" s="24" t="s">
        <v>16</v>
      </c>
      <c r="D14" s="7"/>
    </row>
    <row r="15">
      <c r="A15" s="16">
        <v>10.0</v>
      </c>
      <c r="B15" s="43" t="s">
        <v>1123</v>
      </c>
      <c r="C15" s="24" t="s">
        <v>16</v>
      </c>
      <c r="D15" s="7"/>
    </row>
    <row r="16">
      <c r="A16" s="16">
        <v>11.0</v>
      </c>
      <c r="B16" s="43" t="s">
        <v>1128</v>
      </c>
      <c r="C16" s="24" t="s">
        <v>16</v>
      </c>
      <c r="D16" s="7"/>
    </row>
    <row r="17">
      <c r="A17" s="16">
        <v>12.0</v>
      </c>
      <c r="B17" s="43" t="s">
        <v>1132</v>
      </c>
      <c r="C17" s="24" t="s">
        <v>20</v>
      </c>
      <c r="D17" s="7"/>
    </row>
    <row r="18">
      <c r="A18" s="16">
        <v>13.0</v>
      </c>
      <c r="B18" s="43" t="s">
        <v>1134</v>
      </c>
      <c r="C18" s="24" t="s">
        <v>20</v>
      </c>
      <c r="D18" s="7"/>
    </row>
    <row r="19">
      <c r="A19" s="16">
        <v>14.0</v>
      </c>
      <c r="B19" s="43" t="s">
        <v>1137</v>
      </c>
      <c r="C19" s="24" t="s">
        <v>16</v>
      </c>
      <c r="D19" s="7"/>
    </row>
    <row r="20">
      <c r="A20" s="16">
        <v>15.0</v>
      </c>
      <c r="B20" s="43" t="s">
        <v>1139</v>
      </c>
      <c r="C20" s="24" t="s">
        <v>20</v>
      </c>
      <c r="D20" s="7"/>
    </row>
    <row r="21">
      <c r="A21" s="16">
        <v>16.0</v>
      </c>
      <c r="B21" s="43" t="s">
        <v>1141</v>
      </c>
      <c r="C21" s="25" t="s">
        <v>16</v>
      </c>
      <c r="D21" s="7"/>
    </row>
    <row r="22">
      <c r="A22" s="16">
        <v>17.0</v>
      </c>
      <c r="B22" s="43" t="s">
        <v>1144</v>
      </c>
      <c r="C22" s="24" t="s">
        <v>20</v>
      </c>
      <c r="D22" s="7"/>
    </row>
    <row r="23">
      <c r="A23" s="16">
        <v>18.0</v>
      </c>
      <c r="B23" s="43" t="s">
        <v>1146</v>
      </c>
      <c r="C23" s="24" t="s">
        <v>16</v>
      </c>
      <c r="D23" s="7"/>
    </row>
    <row r="24">
      <c r="A24" s="16">
        <v>19.0</v>
      </c>
      <c r="B24" s="43" t="s">
        <v>1149</v>
      </c>
      <c r="C24" s="24" t="s">
        <v>16</v>
      </c>
      <c r="D24" s="7"/>
    </row>
    <row r="25">
      <c r="A25" s="16">
        <v>20.0</v>
      </c>
      <c r="B25" s="43" t="s">
        <v>1152</v>
      </c>
      <c r="C25" s="24" t="s">
        <v>16</v>
      </c>
      <c r="D25" s="7"/>
    </row>
    <row r="26">
      <c r="A26" s="16">
        <v>21.0</v>
      </c>
      <c r="B26" s="43" t="s">
        <v>1155</v>
      </c>
      <c r="C26" s="24" t="s">
        <v>20</v>
      </c>
      <c r="D26" s="7"/>
    </row>
    <row r="27">
      <c r="A27" s="16">
        <v>22.0</v>
      </c>
      <c r="B27" s="43" t="s">
        <v>1156</v>
      </c>
      <c r="C27" s="24" t="s">
        <v>16</v>
      </c>
      <c r="D27" s="7"/>
    </row>
    <row r="28">
      <c r="A28" s="16">
        <v>23.0</v>
      </c>
      <c r="B28" s="43" t="s">
        <v>1159</v>
      </c>
      <c r="C28" s="24" t="s">
        <v>20</v>
      </c>
      <c r="D28" s="7"/>
    </row>
    <row r="29">
      <c r="A29" s="16">
        <v>24.0</v>
      </c>
      <c r="B29" s="43" t="s">
        <v>1162</v>
      </c>
      <c r="C29" s="24" t="s">
        <v>16</v>
      </c>
      <c r="D29" s="7"/>
    </row>
    <row r="30">
      <c r="A30" s="16">
        <v>25.0</v>
      </c>
      <c r="B30" s="43" t="s">
        <v>395</v>
      </c>
      <c r="C30" s="24" t="s">
        <v>16</v>
      </c>
      <c r="D30" s="7"/>
    </row>
    <row r="31">
      <c r="A31" s="16">
        <v>26.0</v>
      </c>
      <c r="B31" s="43" t="s">
        <v>1168</v>
      </c>
      <c r="C31" s="24" t="s">
        <v>16</v>
      </c>
      <c r="D31" s="7"/>
    </row>
    <row r="32">
      <c r="A32" s="16">
        <v>27.0</v>
      </c>
      <c r="B32" s="43" t="s">
        <v>1172</v>
      </c>
      <c r="C32" s="24" t="s">
        <v>16</v>
      </c>
      <c r="D32" s="7"/>
    </row>
    <row r="33">
      <c r="A33" s="16">
        <v>28.0</v>
      </c>
      <c r="B33" s="43" t="s">
        <v>1175</v>
      </c>
      <c r="C33" s="24" t="s">
        <v>16</v>
      </c>
      <c r="D33" s="7"/>
    </row>
    <row r="34">
      <c r="A34" s="16">
        <v>29.0</v>
      </c>
      <c r="B34" s="43" t="s">
        <v>1178</v>
      </c>
      <c r="C34" s="24" t="s">
        <v>16</v>
      </c>
      <c r="D34" s="7"/>
    </row>
    <row r="35">
      <c r="A35" s="16">
        <v>30.0</v>
      </c>
      <c r="B35" s="43" t="s">
        <v>1181</v>
      </c>
      <c r="C35" s="24" t="s">
        <v>20</v>
      </c>
      <c r="D35" s="7"/>
    </row>
    <row r="36">
      <c r="A36" s="16">
        <v>31.0</v>
      </c>
      <c r="B36" s="43" t="s">
        <v>1185</v>
      </c>
      <c r="C36" s="24" t="s">
        <v>16</v>
      </c>
      <c r="D36" s="7"/>
    </row>
    <row r="37">
      <c r="A37" s="16">
        <v>32.0</v>
      </c>
      <c r="B37" s="43" t="s">
        <v>1189</v>
      </c>
      <c r="C37" s="24" t="s">
        <v>16</v>
      </c>
      <c r="D37" s="7"/>
    </row>
    <row r="38">
      <c r="A38" s="16">
        <v>33.0</v>
      </c>
      <c r="B38" s="43" t="s">
        <v>1192</v>
      </c>
      <c r="C38" s="24" t="s">
        <v>16</v>
      </c>
      <c r="D38" s="7"/>
    </row>
    <row r="39">
      <c r="A39" s="16">
        <v>34.0</v>
      </c>
      <c r="B39" s="43" t="s">
        <v>1195</v>
      </c>
      <c r="C39" s="25" t="s">
        <v>16</v>
      </c>
      <c r="D39" s="7"/>
    </row>
    <row r="40">
      <c r="A40" s="16">
        <v>35.0</v>
      </c>
      <c r="B40" s="43" t="s">
        <v>1198</v>
      </c>
      <c r="C40" s="24" t="s">
        <v>20</v>
      </c>
      <c r="D40" s="7"/>
    </row>
    <row r="41">
      <c r="A41" s="16">
        <v>36.0</v>
      </c>
      <c r="B41" s="43" t="s">
        <v>1201</v>
      </c>
      <c r="C41" s="24" t="s">
        <v>20</v>
      </c>
      <c r="D41" s="7"/>
    </row>
    <row r="42">
      <c r="A42" s="16">
        <v>37.0</v>
      </c>
      <c r="B42" s="43" t="s">
        <v>1204</v>
      </c>
      <c r="C42" s="24" t="s">
        <v>16</v>
      </c>
      <c r="D42" s="7"/>
    </row>
    <row r="43">
      <c r="A43" s="16">
        <v>38.0</v>
      </c>
      <c r="B43" s="43" t="s">
        <v>1207</v>
      </c>
      <c r="C43" s="24" t="s">
        <v>20</v>
      </c>
      <c r="D43" s="7"/>
    </row>
    <row r="44">
      <c r="A44" s="16">
        <v>39.0</v>
      </c>
      <c r="B44" s="43" t="s">
        <v>1209</v>
      </c>
      <c r="C44" s="24" t="s">
        <v>16</v>
      </c>
      <c r="D44" s="7"/>
    </row>
    <row r="45">
      <c r="A45" s="16">
        <v>40.0</v>
      </c>
      <c r="B45" s="43" t="s">
        <v>1211</v>
      </c>
      <c r="C45" s="21" t="s">
        <v>20</v>
      </c>
      <c r="D45" s="7"/>
    </row>
    <row r="46">
      <c r="A46" s="16">
        <v>41.0</v>
      </c>
      <c r="B46" s="43" t="s">
        <v>1213</v>
      </c>
      <c r="C46" s="21" t="s">
        <v>16</v>
      </c>
      <c r="D46" s="7"/>
    </row>
    <row r="47">
      <c r="A47" s="16">
        <v>42.0</v>
      </c>
      <c r="B47" s="43" t="s">
        <v>1216</v>
      </c>
      <c r="C47" s="21" t="s">
        <v>20</v>
      </c>
      <c r="D47" s="7"/>
    </row>
    <row r="48">
      <c r="A48" s="16">
        <v>43.0</v>
      </c>
      <c r="B48" s="43" t="s">
        <v>1218</v>
      </c>
      <c r="C48" s="21" t="s">
        <v>16</v>
      </c>
      <c r="D48" s="7"/>
    </row>
    <row r="49">
      <c r="A49" s="16">
        <v>44.0</v>
      </c>
      <c r="B49" s="43" t="s">
        <v>1220</v>
      </c>
      <c r="C49" s="21" t="s">
        <v>16</v>
      </c>
      <c r="D49" s="7"/>
    </row>
    <row r="50">
      <c r="A50" s="16">
        <v>45.0</v>
      </c>
      <c r="B50" s="43" t="s">
        <v>1224</v>
      </c>
      <c r="C50" s="21" t="s">
        <v>16</v>
      </c>
      <c r="D50" s="7"/>
    </row>
    <row r="51">
      <c r="A51" s="16">
        <v>46.0</v>
      </c>
      <c r="B51" s="43" t="s">
        <v>1227</v>
      </c>
      <c r="C51" s="21" t="s">
        <v>16</v>
      </c>
      <c r="D51" s="7"/>
    </row>
    <row r="52">
      <c r="A52" s="16">
        <v>47.0</v>
      </c>
      <c r="B52" s="43" t="s">
        <v>1231</v>
      </c>
      <c r="C52" s="21" t="s">
        <v>20</v>
      </c>
      <c r="D52" s="7"/>
    </row>
    <row r="53">
      <c r="A53" s="16">
        <v>48.0</v>
      </c>
      <c r="B53" s="43" t="s">
        <v>1235</v>
      </c>
      <c r="C53" s="21" t="s">
        <v>20</v>
      </c>
      <c r="D53" s="7"/>
    </row>
    <row r="54">
      <c r="A54" s="16">
        <v>49.0</v>
      </c>
      <c r="B54" s="43" t="s">
        <v>1238</v>
      </c>
      <c r="C54" s="21" t="s">
        <v>20</v>
      </c>
      <c r="D54" s="7"/>
    </row>
    <row r="55">
      <c r="A55" s="16">
        <v>50.0</v>
      </c>
      <c r="B55" s="43" t="s">
        <v>1242</v>
      </c>
      <c r="C55" s="58" t="s">
        <v>20</v>
      </c>
      <c r="D55" s="7"/>
    </row>
    <row r="56">
      <c r="A56" s="16">
        <v>51.0</v>
      </c>
      <c r="B56" s="43" t="s">
        <v>1245</v>
      </c>
      <c r="C56" s="58" t="s">
        <v>20</v>
      </c>
      <c r="D56" s="7"/>
    </row>
    <row r="57">
      <c r="A57" s="16">
        <v>52.0</v>
      </c>
      <c r="B57" s="43" t="s">
        <v>1248</v>
      </c>
      <c r="C57" s="58" t="s">
        <v>20</v>
      </c>
      <c r="D57" s="7"/>
    </row>
    <row r="58">
      <c r="A58" s="16">
        <v>53.0</v>
      </c>
      <c r="B58" s="43" t="s">
        <v>1250</v>
      </c>
      <c r="C58" s="58" t="s">
        <v>20</v>
      </c>
      <c r="D58" s="7"/>
    </row>
    <row r="59">
      <c r="A59" s="16">
        <v>54.0</v>
      </c>
      <c r="B59" s="43" t="s">
        <v>1252</v>
      </c>
      <c r="C59" s="58" t="s">
        <v>16</v>
      </c>
      <c r="D59" s="7"/>
    </row>
    <row r="60">
      <c r="A60" s="16">
        <v>55.0</v>
      </c>
      <c r="B60" s="43" t="s">
        <v>1254</v>
      </c>
      <c r="C60" s="58" t="s">
        <v>16</v>
      </c>
      <c r="D60" s="7"/>
    </row>
    <row r="61">
      <c r="A61" s="16">
        <v>56.0</v>
      </c>
      <c r="B61" s="43" t="s">
        <v>1256</v>
      </c>
      <c r="C61" s="58" t="s">
        <v>16</v>
      </c>
      <c r="D61" s="7"/>
    </row>
    <row r="62">
      <c r="A62" s="16">
        <v>57.0</v>
      </c>
      <c r="B62" s="43" t="s">
        <v>1258</v>
      </c>
      <c r="C62" s="58" t="s">
        <v>20</v>
      </c>
      <c r="D62" s="7"/>
    </row>
    <row r="63">
      <c r="A63" s="16">
        <v>58.0</v>
      </c>
      <c r="B63" s="43" t="s">
        <v>1261</v>
      </c>
      <c r="C63" s="58" t="s">
        <v>16</v>
      </c>
      <c r="D63" s="7"/>
    </row>
    <row r="64">
      <c r="A64" s="28" t="s">
        <v>167</v>
      </c>
      <c r="B64" s="2"/>
      <c r="C64" s="3"/>
      <c r="D64" s="7"/>
    </row>
    <row r="65">
      <c r="A65" s="29" t="s">
        <v>171</v>
      </c>
      <c r="B65" s="2"/>
      <c r="C65" s="3"/>
      <c r="D65" s="30"/>
    </row>
  </sheetData>
  <mergeCells count="7">
    <mergeCell ref="A1:C1"/>
    <mergeCell ref="D1:D65"/>
    <mergeCell ref="A2:C2"/>
    <mergeCell ref="A3:C3"/>
    <mergeCell ref="A4:C4"/>
    <mergeCell ref="A64:C64"/>
    <mergeCell ref="A65:C65"/>
  </mergeCells>
  <conditionalFormatting sqref="C1:D63">
    <cfRule type="containsText" dxfId="0" priority="1" operator="containsText" text="Enrolled">
      <formula>NOT(ISERROR(SEARCH(("Enrolled"),(C1))))</formula>
    </cfRule>
  </conditionalFormatting>
  <conditionalFormatting sqref="C1:D63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5.75"/>
    <col customWidth="1" min="3" max="3" width="12.88"/>
    <col customWidth="1" min="4" max="4" width="9.88"/>
  </cols>
  <sheetData>
    <row r="1">
      <c r="A1" s="4" t="s">
        <v>1143</v>
      </c>
      <c r="B1" s="2"/>
      <c r="C1" s="3"/>
      <c r="D1" s="5" t="s">
        <v>3</v>
      </c>
    </row>
    <row r="2">
      <c r="A2" s="6" t="s">
        <v>5</v>
      </c>
      <c r="B2" s="2"/>
      <c r="C2" s="3"/>
      <c r="D2" s="7"/>
    </row>
    <row r="3">
      <c r="A3" s="15" t="s">
        <v>1151</v>
      </c>
      <c r="B3" s="9"/>
      <c r="C3" s="10"/>
      <c r="D3" s="7"/>
    </row>
    <row r="4">
      <c r="A4" s="11" t="s">
        <v>1157</v>
      </c>
      <c r="B4" s="2"/>
      <c r="C4" s="3"/>
      <c r="D4" s="7"/>
    </row>
    <row r="5">
      <c r="A5" s="12" t="s">
        <v>11</v>
      </c>
      <c r="B5" s="12" t="s">
        <v>12</v>
      </c>
      <c r="C5" s="31" t="s">
        <v>13</v>
      </c>
      <c r="D5" s="7"/>
    </row>
    <row r="6">
      <c r="A6" s="16">
        <v>1.0</v>
      </c>
      <c r="B6" s="18" t="s">
        <v>1163</v>
      </c>
      <c r="C6" s="24" t="s">
        <v>16</v>
      </c>
      <c r="D6" s="7"/>
    </row>
    <row r="7">
      <c r="A7" s="16">
        <v>2.0</v>
      </c>
      <c r="B7" s="18" t="s">
        <v>1165</v>
      </c>
      <c r="C7" s="25" t="s">
        <v>16</v>
      </c>
      <c r="D7" s="7"/>
    </row>
    <row r="8">
      <c r="A8" s="16">
        <v>3.0</v>
      </c>
      <c r="B8" s="18" t="s">
        <v>1167</v>
      </c>
      <c r="C8" s="24" t="s">
        <v>16</v>
      </c>
      <c r="D8" s="7"/>
    </row>
    <row r="9">
      <c r="A9" s="16">
        <v>4.0</v>
      </c>
      <c r="B9" s="18" t="s">
        <v>1169</v>
      </c>
      <c r="C9" s="24" t="s">
        <v>20</v>
      </c>
      <c r="D9" s="7"/>
    </row>
    <row r="10">
      <c r="A10" s="16">
        <v>5.0</v>
      </c>
      <c r="B10" s="18" t="s">
        <v>1171</v>
      </c>
      <c r="C10" s="24" t="s">
        <v>16</v>
      </c>
      <c r="D10" s="7"/>
    </row>
    <row r="11">
      <c r="A11" s="16">
        <v>6.0</v>
      </c>
      <c r="B11" s="18" t="s">
        <v>1174</v>
      </c>
      <c r="C11" s="24" t="s">
        <v>16</v>
      </c>
      <c r="D11" s="7"/>
    </row>
    <row r="12">
      <c r="A12" s="16">
        <v>7.0</v>
      </c>
      <c r="B12" s="18" t="s">
        <v>1177</v>
      </c>
      <c r="C12" s="25" t="s">
        <v>16</v>
      </c>
      <c r="D12" s="7"/>
    </row>
    <row r="13">
      <c r="A13" s="16">
        <v>8.0</v>
      </c>
      <c r="B13" s="18" t="s">
        <v>1180</v>
      </c>
      <c r="C13" s="25" t="s">
        <v>20</v>
      </c>
      <c r="D13" s="7"/>
    </row>
    <row r="14">
      <c r="A14" s="16">
        <v>9.0</v>
      </c>
      <c r="B14" s="18" t="s">
        <v>1182</v>
      </c>
      <c r="C14" s="24" t="s">
        <v>16</v>
      </c>
      <c r="D14" s="7"/>
    </row>
    <row r="15">
      <c r="A15" s="16">
        <v>10.0</v>
      </c>
      <c r="B15" s="18" t="s">
        <v>1184</v>
      </c>
      <c r="C15" s="24" t="s">
        <v>20</v>
      </c>
      <c r="D15" s="7"/>
    </row>
    <row r="16">
      <c r="A16" s="16">
        <v>11.0</v>
      </c>
      <c r="B16" s="18" t="s">
        <v>1187</v>
      </c>
      <c r="C16" s="24" t="s">
        <v>16</v>
      </c>
      <c r="D16" s="7"/>
    </row>
    <row r="17">
      <c r="A17" s="16">
        <v>12.0</v>
      </c>
      <c r="B17" s="18" t="s">
        <v>1190</v>
      </c>
      <c r="C17" s="24" t="s">
        <v>16</v>
      </c>
      <c r="D17" s="7"/>
    </row>
    <row r="18">
      <c r="A18" s="16">
        <v>13.0</v>
      </c>
      <c r="B18" s="18" t="s">
        <v>1193</v>
      </c>
      <c r="C18" s="24" t="s">
        <v>16</v>
      </c>
      <c r="D18" s="7"/>
    </row>
    <row r="19">
      <c r="A19" s="16">
        <v>14.0</v>
      </c>
      <c r="B19" s="18" t="s">
        <v>1199</v>
      </c>
      <c r="C19" s="24" t="s">
        <v>20</v>
      </c>
      <c r="D19" s="7"/>
    </row>
    <row r="20">
      <c r="A20" s="16">
        <v>15.0</v>
      </c>
      <c r="B20" s="18" t="s">
        <v>1202</v>
      </c>
      <c r="C20" s="24" t="s">
        <v>16</v>
      </c>
      <c r="D20" s="7"/>
    </row>
    <row r="21">
      <c r="A21" s="16">
        <v>16.0</v>
      </c>
      <c r="B21" s="18" t="s">
        <v>1205</v>
      </c>
      <c r="C21" s="25" t="s">
        <v>20</v>
      </c>
      <c r="D21" s="7"/>
    </row>
    <row r="22">
      <c r="A22" s="16">
        <v>17.0</v>
      </c>
      <c r="B22" s="18" t="s">
        <v>1037</v>
      </c>
      <c r="C22" s="24" t="s">
        <v>20</v>
      </c>
      <c r="D22" s="7"/>
    </row>
    <row r="23">
      <c r="A23" s="16">
        <v>18.0</v>
      </c>
      <c r="B23" s="18" t="s">
        <v>1208</v>
      </c>
      <c r="C23" s="24" t="s">
        <v>16</v>
      </c>
      <c r="D23" s="7"/>
    </row>
    <row r="24">
      <c r="A24" s="16">
        <v>19.0</v>
      </c>
      <c r="B24" s="18" t="s">
        <v>1210</v>
      </c>
      <c r="C24" s="24" t="s">
        <v>16</v>
      </c>
      <c r="D24" s="7"/>
    </row>
    <row r="25">
      <c r="A25" s="16">
        <v>20.0</v>
      </c>
      <c r="B25" s="18" t="s">
        <v>1212</v>
      </c>
      <c r="C25" s="24" t="s">
        <v>20</v>
      </c>
      <c r="D25" s="7"/>
    </row>
    <row r="26">
      <c r="A26" s="16">
        <v>21.0</v>
      </c>
      <c r="B26" s="18" t="s">
        <v>1214</v>
      </c>
      <c r="C26" s="24" t="s">
        <v>16</v>
      </c>
      <c r="D26" s="7"/>
    </row>
    <row r="27">
      <c r="A27" s="16">
        <v>22.0</v>
      </c>
      <c r="B27" s="18" t="s">
        <v>1215</v>
      </c>
      <c r="C27" s="24" t="s">
        <v>16</v>
      </c>
      <c r="D27" s="7"/>
    </row>
    <row r="28">
      <c r="A28" s="16">
        <v>23.0</v>
      </c>
      <c r="B28" s="18" t="s">
        <v>1217</v>
      </c>
      <c r="C28" s="24" t="s">
        <v>16</v>
      </c>
      <c r="D28" s="7"/>
    </row>
    <row r="29">
      <c r="A29" s="16">
        <v>24.0</v>
      </c>
      <c r="B29" s="18" t="s">
        <v>1219</v>
      </c>
      <c r="C29" s="24" t="s">
        <v>16</v>
      </c>
      <c r="D29" s="7"/>
    </row>
    <row r="30">
      <c r="A30" s="16">
        <v>25.0</v>
      </c>
      <c r="B30" s="18" t="s">
        <v>1222</v>
      </c>
      <c r="C30" s="24" t="s">
        <v>20</v>
      </c>
      <c r="D30" s="7"/>
    </row>
    <row r="31">
      <c r="A31" s="16">
        <v>26.0</v>
      </c>
      <c r="B31" s="18" t="s">
        <v>1223</v>
      </c>
      <c r="C31" s="24" t="s">
        <v>20</v>
      </c>
      <c r="D31" s="7"/>
    </row>
    <row r="32">
      <c r="A32" s="16">
        <v>27.0</v>
      </c>
      <c r="B32" s="18" t="s">
        <v>1225</v>
      </c>
      <c r="C32" s="24" t="s">
        <v>20</v>
      </c>
      <c r="D32" s="7"/>
    </row>
    <row r="33">
      <c r="A33" s="16">
        <v>28.0</v>
      </c>
      <c r="B33" s="18" t="s">
        <v>1226</v>
      </c>
      <c r="C33" s="24" t="s">
        <v>20</v>
      </c>
      <c r="D33" s="7"/>
    </row>
    <row r="34">
      <c r="A34" s="16">
        <v>29.0</v>
      </c>
      <c r="B34" s="18" t="s">
        <v>1228</v>
      </c>
      <c r="C34" s="24" t="s">
        <v>20</v>
      </c>
      <c r="D34" s="7"/>
    </row>
    <row r="35">
      <c r="A35" s="16">
        <v>30.0</v>
      </c>
      <c r="B35" s="18" t="s">
        <v>1232</v>
      </c>
      <c r="C35" s="24" t="s">
        <v>20</v>
      </c>
      <c r="D35" s="7"/>
    </row>
    <row r="36">
      <c r="A36" s="16">
        <v>31.0</v>
      </c>
      <c r="B36" s="18" t="s">
        <v>1234</v>
      </c>
      <c r="C36" s="24" t="s">
        <v>16</v>
      </c>
      <c r="D36" s="7"/>
    </row>
    <row r="37">
      <c r="A37" s="16">
        <v>32.0</v>
      </c>
      <c r="B37" s="18" t="s">
        <v>1236</v>
      </c>
      <c r="C37" s="24" t="s">
        <v>20</v>
      </c>
      <c r="D37" s="7"/>
    </row>
    <row r="38">
      <c r="A38" s="16">
        <v>33.0</v>
      </c>
      <c r="B38" s="18" t="s">
        <v>1240</v>
      </c>
      <c r="C38" s="24" t="s">
        <v>16</v>
      </c>
      <c r="D38" s="7"/>
    </row>
    <row r="39">
      <c r="A39" s="16">
        <v>34.0</v>
      </c>
      <c r="B39" s="18" t="s">
        <v>1243</v>
      </c>
      <c r="C39" s="25" t="s">
        <v>20</v>
      </c>
      <c r="D39" s="7"/>
    </row>
    <row r="40">
      <c r="A40" s="16">
        <v>35.0</v>
      </c>
      <c r="B40" s="18" t="s">
        <v>1244</v>
      </c>
      <c r="C40" s="24" t="s">
        <v>16</v>
      </c>
      <c r="D40" s="7"/>
    </row>
    <row r="41">
      <c r="A41" s="16">
        <v>36.0</v>
      </c>
      <c r="B41" s="18" t="s">
        <v>1246</v>
      </c>
      <c r="C41" s="24" t="s">
        <v>20</v>
      </c>
      <c r="D41" s="7"/>
    </row>
    <row r="42">
      <c r="A42" s="16">
        <v>37.0</v>
      </c>
      <c r="B42" s="18" t="s">
        <v>1247</v>
      </c>
      <c r="C42" s="24" t="s">
        <v>20</v>
      </c>
      <c r="D42" s="7"/>
    </row>
    <row r="43">
      <c r="A43" s="16">
        <v>38.0</v>
      </c>
      <c r="B43" s="18" t="s">
        <v>1249</v>
      </c>
      <c r="C43" s="24" t="s">
        <v>20</v>
      </c>
      <c r="D43" s="7"/>
    </row>
    <row r="44">
      <c r="A44" s="16">
        <v>39.0</v>
      </c>
      <c r="B44" s="18" t="s">
        <v>1251</v>
      </c>
      <c r="C44" s="24" t="s">
        <v>20</v>
      </c>
      <c r="D44" s="7"/>
    </row>
    <row r="45">
      <c r="A45" s="16">
        <v>40.0</v>
      </c>
      <c r="B45" s="18" t="s">
        <v>1253</v>
      </c>
      <c r="C45" s="21" t="s">
        <v>16</v>
      </c>
      <c r="D45" s="7"/>
    </row>
    <row r="46">
      <c r="A46" s="16">
        <v>41.0</v>
      </c>
      <c r="B46" s="18" t="s">
        <v>1255</v>
      </c>
      <c r="C46" s="21" t="s">
        <v>20</v>
      </c>
      <c r="D46" s="7"/>
    </row>
    <row r="47">
      <c r="A47" s="16">
        <v>42.0</v>
      </c>
      <c r="B47" s="18" t="s">
        <v>1257</v>
      </c>
      <c r="C47" s="21" t="s">
        <v>16</v>
      </c>
      <c r="D47" s="7"/>
    </row>
    <row r="48">
      <c r="A48" s="16">
        <v>43.0</v>
      </c>
      <c r="B48" s="18" t="s">
        <v>1259</v>
      </c>
      <c r="C48" s="21" t="s">
        <v>16</v>
      </c>
      <c r="D48" s="7"/>
    </row>
    <row r="49">
      <c r="A49" s="16">
        <v>44.0</v>
      </c>
      <c r="B49" s="18" t="s">
        <v>1260</v>
      </c>
      <c r="C49" s="21" t="s">
        <v>16</v>
      </c>
      <c r="D49" s="7"/>
    </row>
    <row r="50">
      <c r="A50" s="16">
        <v>45.0</v>
      </c>
      <c r="B50" s="18" t="s">
        <v>1262</v>
      </c>
      <c r="C50" s="21" t="s">
        <v>16</v>
      </c>
      <c r="D50" s="7"/>
    </row>
    <row r="51">
      <c r="A51" s="16">
        <v>46.0</v>
      </c>
      <c r="B51" s="18" t="s">
        <v>1264</v>
      </c>
      <c r="C51" s="21" t="s">
        <v>20</v>
      </c>
      <c r="D51" s="7"/>
    </row>
    <row r="52">
      <c r="A52" s="16">
        <v>47.0</v>
      </c>
      <c r="B52" s="18" t="s">
        <v>1265</v>
      </c>
      <c r="C52" s="21" t="s">
        <v>20</v>
      </c>
      <c r="D52" s="7"/>
    </row>
    <row r="53">
      <c r="A53" s="16">
        <v>48.0</v>
      </c>
      <c r="B53" s="18" t="s">
        <v>475</v>
      </c>
      <c r="C53" s="21" t="s">
        <v>16</v>
      </c>
      <c r="D53" s="7"/>
    </row>
    <row r="54">
      <c r="A54" s="16">
        <v>49.0</v>
      </c>
      <c r="B54" s="18" t="s">
        <v>1266</v>
      </c>
      <c r="C54" s="21" t="s">
        <v>20</v>
      </c>
      <c r="D54" s="7"/>
    </row>
    <row r="55">
      <c r="A55" s="28" t="s">
        <v>167</v>
      </c>
      <c r="B55" s="2"/>
      <c r="C55" s="3"/>
      <c r="D55" s="7"/>
    </row>
    <row r="56">
      <c r="A56" s="29" t="s">
        <v>171</v>
      </c>
      <c r="B56" s="2"/>
      <c r="C56" s="3"/>
      <c r="D56" s="30"/>
    </row>
  </sheetData>
  <mergeCells count="7">
    <mergeCell ref="A1:C1"/>
    <mergeCell ref="D1:D56"/>
    <mergeCell ref="A2:C2"/>
    <mergeCell ref="A3:C3"/>
    <mergeCell ref="A4:C4"/>
    <mergeCell ref="A55:C55"/>
    <mergeCell ref="A56:C56"/>
  </mergeCells>
  <conditionalFormatting sqref="C1:C54 D1:D56">
    <cfRule type="containsText" dxfId="0" priority="1" operator="containsText" text="Enrolled">
      <formula>NOT(ISERROR(SEARCH(("Enrolled"),(C1))))</formula>
    </cfRule>
  </conditionalFormatting>
  <conditionalFormatting sqref="C1:C54 D1:D56">
    <cfRule type="containsText" dxfId="1" priority="2" operator="containsText" text="Enlisted">
      <formula>NOT(ISERROR(SEARCH(("Enlisted"),(C1))))</formula>
    </cfRule>
  </conditionalFormatting>
  <hyperlinks>
    <hyperlink r:id="rId1" ref="A3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0.75"/>
    <col customWidth="1" min="5" max="6" width="27.0"/>
    <col customWidth="1" min="7" max="7" width="32.63"/>
  </cols>
  <sheetData>
    <row r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</row>
    <row r="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</row>
    <row r="4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  <row r="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</row>
    <row r="6">
      <c r="A6" s="47"/>
      <c r="B6" s="47"/>
      <c r="C6" s="47"/>
      <c r="D6" s="54" t="s">
        <v>1230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</row>
    <row r="7">
      <c r="A7" s="47"/>
      <c r="B7" s="47"/>
      <c r="C7" s="47"/>
      <c r="D7" s="56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>
      <c r="A8" s="47"/>
      <c r="B8" s="47"/>
      <c r="C8" s="47"/>
      <c r="D8" s="59"/>
      <c r="E8" s="2"/>
      <c r="F8" s="2"/>
      <c r="G8" s="3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</row>
    <row r="9">
      <c r="A9" s="47"/>
      <c r="B9" s="47"/>
      <c r="C9" s="47"/>
      <c r="D9" s="60" t="s">
        <v>1229</v>
      </c>
      <c r="E9" s="2"/>
      <c r="F9" s="2"/>
      <c r="G9" s="3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>
      <c r="A10" s="47"/>
      <c r="B10" s="47"/>
      <c r="C10" s="47"/>
      <c r="D10" s="61" t="s">
        <v>1233</v>
      </c>
      <c r="E10" s="61" t="s">
        <v>1241</v>
      </c>
      <c r="F10" s="62" t="s">
        <v>1237</v>
      </c>
      <c r="G10" s="63" t="s">
        <v>1263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</row>
    <row r="11">
      <c r="A11" s="47"/>
      <c r="B11" s="47"/>
      <c r="C11" s="47"/>
      <c r="D11" s="64" t="s">
        <v>0</v>
      </c>
      <c r="E11" s="57">
        <v>45.0</v>
      </c>
      <c r="F11" s="57">
        <f t="shared" ref="F11:F20" si="1">(E11-G11)</f>
        <v>44</v>
      </c>
      <c r="G11" s="57">
        <v>1.0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</row>
    <row r="12">
      <c r="A12" s="47"/>
      <c r="B12" s="47"/>
      <c r="C12" s="47"/>
      <c r="D12" s="64" t="s">
        <v>1</v>
      </c>
      <c r="E12" s="57">
        <v>44.0</v>
      </c>
      <c r="F12" s="57">
        <f t="shared" si="1"/>
        <v>43</v>
      </c>
      <c r="G12" s="57">
        <v>1.0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</row>
    <row r="13">
      <c r="A13" s="47"/>
      <c r="B13" s="47"/>
      <c r="C13" s="47"/>
      <c r="D13" s="64" t="s">
        <v>2</v>
      </c>
      <c r="E13" s="57">
        <v>45.0</v>
      </c>
      <c r="F13" s="57">
        <f t="shared" si="1"/>
        <v>44</v>
      </c>
      <c r="G13" s="57">
        <v>1.0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</row>
    <row r="14">
      <c r="A14" s="47"/>
      <c r="B14" s="47"/>
      <c r="C14" s="47"/>
      <c r="D14" s="64" t="s">
        <v>4</v>
      </c>
      <c r="E14" s="57">
        <v>45.0</v>
      </c>
      <c r="F14" s="57">
        <f t="shared" si="1"/>
        <v>44</v>
      </c>
      <c r="G14" s="57">
        <v>1.0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</row>
    <row r="15">
      <c r="A15" s="47"/>
      <c r="B15" s="47"/>
      <c r="C15" s="47"/>
      <c r="D15" s="64" t="s">
        <v>190</v>
      </c>
      <c r="E15" s="57">
        <v>44.0</v>
      </c>
      <c r="F15" s="57">
        <f t="shared" si="1"/>
        <v>44</v>
      </c>
      <c r="G15" s="57">
        <v>0.0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</row>
    <row r="16">
      <c r="A16" s="47"/>
      <c r="B16" s="47"/>
      <c r="C16" s="47"/>
      <c r="D16" s="64" t="s">
        <v>204</v>
      </c>
      <c r="E16" s="57">
        <v>45.0</v>
      </c>
      <c r="F16" s="57">
        <f t="shared" si="1"/>
        <v>43</v>
      </c>
      <c r="G16" s="57">
        <v>2.0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</row>
    <row r="17">
      <c r="A17" s="47"/>
      <c r="B17" s="47"/>
      <c r="C17" s="47"/>
      <c r="D17" s="64" t="s">
        <v>235</v>
      </c>
      <c r="E17" s="57">
        <v>45.0</v>
      </c>
      <c r="F17" s="57">
        <f t="shared" si="1"/>
        <v>44</v>
      </c>
      <c r="G17" s="57">
        <v>1.0</v>
      </c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</row>
    <row r="18">
      <c r="A18" s="47"/>
      <c r="B18" s="47"/>
      <c r="C18" s="47"/>
      <c r="D18" s="64" t="s">
        <v>253</v>
      </c>
      <c r="E18" s="57">
        <v>45.0</v>
      </c>
      <c r="F18" s="57">
        <f t="shared" si="1"/>
        <v>42</v>
      </c>
      <c r="G18" s="57">
        <v>3.0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</row>
    <row r="19">
      <c r="A19" s="47"/>
      <c r="B19" s="47"/>
      <c r="C19" s="47"/>
      <c r="D19" s="57" t="s">
        <v>328</v>
      </c>
      <c r="E19" s="57">
        <v>45.0</v>
      </c>
      <c r="F19" s="57">
        <f t="shared" si="1"/>
        <v>44</v>
      </c>
      <c r="G19" s="57">
        <v>1.0</v>
      </c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</row>
    <row r="20">
      <c r="A20" s="47"/>
      <c r="B20" s="47"/>
      <c r="C20" s="47"/>
      <c r="D20" s="57" t="s">
        <v>412</v>
      </c>
      <c r="E20" s="57">
        <v>2.0</v>
      </c>
      <c r="F20" s="57">
        <f t="shared" si="1"/>
        <v>2</v>
      </c>
      <c r="G20" s="57">
        <v>0.0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</row>
    <row r="21">
      <c r="A21" s="47"/>
      <c r="B21" s="47"/>
      <c r="C21" s="47"/>
      <c r="D21" s="68" t="s">
        <v>1267</v>
      </c>
      <c r="E21" s="68">
        <f t="shared" ref="E21:G21" si="2">(E11+E12+E13+E14+E15+E16+E17+E18+E19+E20)</f>
        <v>405</v>
      </c>
      <c r="F21" s="68">
        <f t="shared" si="2"/>
        <v>394</v>
      </c>
      <c r="G21" s="68">
        <f t="shared" si="2"/>
        <v>11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</row>
    <row r="22">
      <c r="A22" s="47"/>
      <c r="B22" s="47"/>
      <c r="C22" s="47"/>
      <c r="D22" s="60" t="s">
        <v>1268</v>
      </c>
      <c r="E22" s="2"/>
      <c r="F22" s="2"/>
      <c r="G22" s="3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</row>
    <row r="23">
      <c r="A23" s="47"/>
      <c r="B23" s="47"/>
      <c r="C23" s="47"/>
      <c r="D23" s="61" t="s">
        <v>1233</v>
      </c>
      <c r="E23" s="61" t="s">
        <v>1241</v>
      </c>
      <c r="F23" s="62" t="s">
        <v>1237</v>
      </c>
      <c r="G23" s="63" t="s">
        <v>1263</v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</row>
    <row r="24">
      <c r="A24" s="47"/>
      <c r="B24" s="47"/>
      <c r="C24" s="47"/>
      <c r="D24" s="64" t="s">
        <v>431</v>
      </c>
      <c r="E24" s="57">
        <v>45.0</v>
      </c>
      <c r="F24" s="64">
        <f t="shared" ref="F24:F28" si="3">(E24-G24)</f>
        <v>44</v>
      </c>
      <c r="G24" s="72">
        <v>1.0</v>
      </c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</row>
    <row r="25">
      <c r="A25" s="47"/>
      <c r="B25" s="47"/>
      <c r="C25" s="47"/>
      <c r="D25" s="64" t="s">
        <v>490</v>
      </c>
      <c r="E25" s="57">
        <v>45.0</v>
      </c>
      <c r="F25" s="64">
        <f t="shared" si="3"/>
        <v>44</v>
      </c>
      <c r="G25" s="72">
        <v>1.0</v>
      </c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</row>
    <row r="26">
      <c r="A26" s="47"/>
      <c r="B26" s="47"/>
      <c r="C26" s="47"/>
      <c r="D26" s="64" t="s">
        <v>489</v>
      </c>
      <c r="E26" s="57">
        <v>30.0</v>
      </c>
      <c r="F26" s="64">
        <f t="shared" si="3"/>
        <v>27</v>
      </c>
      <c r="G26" s="72">
        <v>3.0</v>
      </c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</row>
    <row r="27">
      <c r="A27" s="47"/>
      <c r="B27" s="47"/>
      <c r="C27" s="47"/>
      <c r="D27" s="64" t="s">
        <v>605</v>
      </c>
      <c r="E27" s="57">
        <v>42.0</v>
      </c>
      <c r="F27" s="64">
        <f t="shared" si="3"/>
        <v>37</v>
      </c>
      <c r="G27" s="72">
        <v>5.0</v>
      </c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</row>
    <row r="28">
      <c r="A28" s="47"/>
      <c r="B28" s="47"/>
      <c r="C28" s="47"/>
      <c r="D28" s="64" t="s">
        <v>607</v>
      </c>
      <c r="E28" s="57">
        <v>43.0</v>
      </c>
      <c r="F28" s="64">
        <f t="shared" si="3"/>
        <v>42</v>
      </c>
      <c r="G28" s="72">
        <v>1.0</v>
      </c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</row>
    <row r="29">
      <c r="A29" s="47"/>
      <c r="B29" s="47"/>
      <c r="C29" s="47"/>
      <c r="D29" s="68" t="s">
        <v>1267</v>
      </c>
      <c r="E29" s="68">
        <f t="shared" ref="E29:G29" si="4">(E24+E25+E26+E27+E28)</f>
        <v>205</v>
      </c>
      <c r="F29" s="68">
        <f t="shared" si="4"/>
        <v>194</v>
      </c>
      <c r="G29" s="68">
        <f t="shared" si="4"/>
        <v>11</v>
      </c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</row>
    <row r="30">
      <c r="A30" s="47"/>
      <c r="B30" s="47"/>
      <c r="C30" s="47"/>
      <c r="D30" s="60" t="s">
        <v>1269</v>
      </c>
      <c r="E30" s="2"/>
      <c r="F30" s="2"/>
      <c r="G30" s="3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</row>
    <row r="31">
      <c r="A31" s="47"/>
      <c r="B31" s="47"/>
      <c r="C31" s="47"/>
      <c r="D31" s="61" t="s">
        <v>1233</v>
      </c>
      <c r="E31" s="61" t="s">
        <v>1241</v>
      </c>
      <c r="F31" s="62" t="s">
        <v>1237</v>
      </c>
      <c r="G31" s="63" t="s">
        <v>1263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</row>
    <row r="32">
      <c r="A32" s="47"/>
      <c r="B32" s="47"/>
      <c r="C32" s="47"/>
      <c r="D32" s="64" t="s">
        <v>812</v>
      </c>
      <c r="E32" s="57">
        <v>27.0</v>
      </c>
      <c r="F32" s="64">
        <f t="shared" ref="F32:F36" si="5">(E32-G32)</f>
        <v>22</v>
      </c>
      <c r="G32" s="72">
        <v>5.0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</row>
    <row r="33">
      <c r="A33" s="47"/>
      <c r="B33" s="47"/>
      <c r="C33" s="47"/>
      <c r="D33" s="64" t="s">
        <v>817</v>
      </c>
      <c r="E33" s="57">
        <v>45.0</v>
      </c>
      <c r="F33" s="64">
        <f t="shared" si="5"/>
        <v>44</v>
      </c>
      <c r="G33" s="72">
        <v>1.0</v>
      </c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</row>
    <row r="34">
      <c r="A34" s="47"/>
      <c r="B34" s="47"/>
      <c r="C34" s="47"/>
      <c r="D34" s="64" t="s">
        <v>856</v>
      </c>
      <c r="E34" s="57">
        <v>28.0</v>
      </c>
      <c r="F34" s="64">
        <f t="shared" si="5"/>
        <v>27</v>
      </c>
      <c r="G34" s="72">
        <v>1.0</v>
      </c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</row>
    <row r="35">
      <c r="A35" s="47"/>
      <c r="B35" s="47"/>
      <c r="C35" s="47"/>
      <c r="D35" s="57" t="s">
        <v>854</v>
      </c>
      <c r="E35" s="57">
        <v>8.0</v>
      </c>
      <c r="F35" s="64">
        <f t="shared" si="5"/>
        <v>8</v>
      </c>
      <c r="G35" s="72">
        <v>0.0</v>
      </c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</row>
    <row r="36">
      <c r="A36" s="47"/>
      <c r="B36" s="47"/>
      <c r="C36" s="47"/>
      <c r="D36" s="57" t="s">
        <v>961</v>
      </c>
      <c r="E36" s="57">
        <v>12.0</v>
      </c>
      <c r="F36" s="64">
        <f t="shared" si="5"/>
        <v>12</v>
      </c>
      <c r="G36" s="72">
        <v>0.0</v>
      </c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</row>
    <row r="37">
      <c r="A37" s="47"/>
      <c r="B37" s="47"/>
      <c r="C37" s="47"/>
      <c r="D37" s="68" t="s">
        <v>1267</v>
      </c>
      <c r="E37" s="68">
        <f t="shared" ref="E37:G37" si="6">(E32+E33+E34+E35+E36)</f>
        <v>120</v>
      </c>
      <c r="F37" s="68">
        <f t="shared" si="6"/>
        <v>113</v>
      </c>
      <c r="G37" s="68">
        <f t="shared" si="6"/>
        <v>7</v>
      </c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</row>
    <row r="38">
      <c r="A38" s="47"/>
      <c r="B38" s="47"/>
      <c r="C38" s="47"/>
      <c r="D38" s="60" t="s">
        <v>1270</v>
      </c>
      <c r="E38" s="2"/>
      <c r="F38" s="2"/>
      <c r="G38" s="3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</row>
    <row r="39">
      <c r="A39" s="47"/>
      <c r="B39" s="47"/>
      <c r="C39" s="47"/>
      <c r="D39" s="61" t="s">
        <v>1233</v>
      </c>
      <c r="E39" s="61" t="s">
        <v>1241</v>
      </c>
      <c r="F39" s="62" t="s">
        <v>1237</v>
      </c>
      <c r="G39" s="63" t="s">
        <v>1263</v>
      </c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</row>
    <row r="40">
      <c r="A40" s="47"/>
      <c r="B40" s="47"/>
      <c r="C40" s="47"/>
      <c r="D40" s="64" t="s">
        <v>1031</v>
      </c>
      <c r="E40" s="57">
        <v>10.0</v>
      </c>
      <c r="F40" s="64">
        <f t="shared" ref="F40:F42" si="7">(E40-G40)</f>
        <v>6</v>
      </c>
      <c r="G40" s="72">
        <v>4.0</v>
      </c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</row>
    <row r="41">
      <c r="A41" s="47"/>
      <c r="B41" s="47"/>
      <c r="C41" s="47"/>
      <c r="D41" s="64" t="s">
        <v>1048</v>
      </c>
      <c r="E41" s="57">
        <v>11.0</v>
      </c>
      <c r="F41" s="64">
        <f t="shared" si="7"/>
        <v>6</v>
      </c>
      <c r="G41" s="72">
        <v>5.0</v>
      </c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</row>
    <row r="42">
      <c r="A42" s="47"/>
      <c r="B42" s="47"/>
      <c r="C42" s="47"/>
      <c r="D42" s="64" t="s">
        <v>1143</v>
      </c>
      <c r="E42" s="57">
        <v>6.0</v>
      </c>
      <c r="F42" s="64">
        <f t="shared" si="7"/>
        <v>6</v>
      </c>
      <c r="G42" s="72">
        <v>0.0</v>
      </c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</row>
    <row r="43">
      <c r="A43" s="47"/>
      <c r="B43" s="47"/>
      <c r="C43" s="47"/>
      <c r="D43" s="68" t="s">
        <v>1267</v>
      </c>
      <c r="E43" s="68">
        <f t="shared" ref="E43:G43" si="8">(E40+E41+E42)</f>
        <v>27</v>
      </c>
      <c r="F43" s="68">
        <f t="shared" si="8"/>
        <v>18</v>
      </c>
      <c r="G43" s="68">
        <f t="shared" si="8"/>
        <v>9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</row>
    <row r="44">
      <c r="A44" s="47"/>
      <c r="B44" s="47"/>
      <c r="C44" s="47"/>
      <c r="D44" s="59"/>
      <c r="E44" s="2"/>
      <c r="F44" s="3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</row>
    <row r="45">
      <c r="A45" s="47"/>
      <c r="B45" s="47"/>
      <c r="C45" s="47"/>
      <c r="D45" s="75" t="s">
        <v>1273</v>
      </c>
      <c r="E45" s="75" t="s">
        <v>1241</v>
      </c>
      <c r="F45" s="76" t="s">
        <v>1237</v>
      </c>
      <c r="G45" s="77" t="s">
        <v>1263</v>
      </c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</row>
    <row r="46">
      <c r="A46" s="47"/>
      <c r="B46" s="47"/>
      <c r="C46" s="47"/>
      <c r="D46" s="78">
        <v>23.0</v>
      </c>
      <c r="E46" s="79">
        <f t="shared" ref="E46:G46" si="9">(E21+E29+E37+E43)</f>
        <v>757</v>
      </c>
      <c r="F46" s="79">
        <f t="shared" si="9"/>
        <v>719</v>
      </c>
      <c r="G46" s="79">
        <f t="shared" si="9"/>
        <v>38</v>
      </c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</row>
    <row r="47">
      <c r="A47" s="47"/>
      <c r="B47" s="47"/>
      <c r="C47" s="47"/>
      <c r="D47" s="80" t="s">
        <v>167</v>
      </c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</row>
    <row r="48">
      <c r="A48" s="47"/>
      <c r="B48" s="47"/>
      <c r="C48" s="47"/>
      <c r="D48" s="81" t="s">
        <v>1274</v>
      </c>
      <c r="E48" s="2"/>
      <c r="F48" s="2"/>
      <c r="G48" s="3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</row>
    <row r="49">
      <c r="A49" s="47"/>
      <c r="B49" s="47"/>
      <c r="C49" s="47"/>
      <c r="D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</row>
    <row r="50">
      <c r="A50" s="47"/>
      <c r="B50" s="47"/>
      <c r="C50" s="47"/>
      <c r="D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</row>
    <row r="51">
      <c r="A51" s="47"/>
      <c r="B51" s="47"/>
      <c r="C51" s="47"/>
      <c r="D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</row>
    <row r="59">
      <c r="A59" s="47"/>
      <c r="B59" s="47"/>
      <c r="C59" s="47"/>
      <c r="D59" s="47">
        <f>SUM(B16, C16, B26, C26, B35, C35, B41, C41)</f>
        <v>0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</row>
    <row r="100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</row>
    <row r="1002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>
      <c r="A1004" s="47"/>
      <c r="B1004" s="47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</row>
  </sheetData>
  <mergeCells count="12">
    <mergeCell ref="D47:G47"/>
    <mergeCell ref="D48:G48"/>
    <mergeCell ref="D49:F49"/>
    <mergeCell ref="D50:F50"/>
    <mergeCell ref="D51:F51"/>
    <mergeCell ref="D6:G7"/>
    <mergeCell ref="D8:G8"/>
    <mergeCell ref="D9:G9"/>
    <mergeCell ref="D22:G22"/>
    <mergeCell ref="D30:G30"/>
    <mergeCell ref="D38:G38"/>
    <mergeCell ref="D44:F44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4.5"/>
    <col customWidth="1" min="2" max="2" width="31.63"/>
    <col customWidth="1" min="3" max="3" width="31.0"/>
    <col customWidth="1" min="4" max="4" width="31.75"/>
  </cols>
  <sheetData>
    <row r="1">
      <c r="A1" s="48" t="s">
        <v>1221</v>
      </c>
      <c r="B1" s="49"/>
      <c r="C1" s="49"/>
      <c r="D1" s="50"/>
    </row>
    <row r="2">
      <c r="A2" s="51"/>
      <c r="B2" s="9"/>
      <c r="C2" s="9"/>
      <c r="D2" s="10"/>
    </row>
    <row r="3">
      <c r="A3" s="52"/>
      <c r="B3" s="2"/>
      <c r="C3" s="2"/>
      <c r="D3" s="3"/>
    </row>
    <row r="4">
      <c r="A4" s="53" t="s">
        <v>1229</v>
      </c>
      <c r="B4" s="2"/>
      <c r="C4" s="2"/>
      <c r="D4" s="3"/>
    </row>
    <row r="5">
      <c r="A5" s="55" t="s">
        <v>1233</v>
      </c>
      <c r="B5" s="55" t="s">
        <v>1237</v>
      </c>
      <c r="C5" s="55" t="s">
        <v>1239</v>
      </c>
      <c r="D5" s="55" t="s">
        <v>1241</v>
      </c>
    </row>
    <row r="6">
      <c r="A6" s="57" t="s">
        <v>0</v>
      </c>
      <c r="B6" s="57">
        <v>49.0</v>
      </c>
      <c r="C6" s="57">
        <v>1.0</v>
      </c>
      <c r="D6" s="57">
        <f t="shared" ref="D6:D16" si="1">SUM(B6, C6)</f>
        <v>50</v>
      </c>
    </row>
    <row r="7">
      <c r="A7" s="57" t="s">
        <v>1</v>
      </c>
      <c r="B7" s="57">
        <v>48.0</v>
      </c>
      <c r="C7" s="57">
        <v>1.0</v>
      </c>
      <c r="D7" s="57">
        <f t="shared" si="1"/>
        <v>49</v>
      </c>
    </row>
    <row r="8">
      <c r="A8" s="57" t="s">
        <v>2</v>
      </c>
      <c r="B8" s="57">
        <v>44.0</v>
      </c>
      <c r="C8" s="57">
        <v>1.0</v>
      </c>
      <c r="D8" s="57">
        <f t="shared" si="1"/>
        <v>45</v>
      </c>
    </row>
    <row r="9">
      <c r="A9" s="57" t="s">
        <v>4</v>
      </c>
      <c r="B9" s="57">
        <v>45.0</v>
      </c>
      <c r="C9" s="57">
        <v>0.0</v>
      </c>
      <c r="D9" s="57">
        <f t="shared" si="1"/>
        <v>45</v>
      </c>
    </row>
    <row r="10">
      <c r="A10" s="57" t="s">
        <v>190</v>
      </c>
      <c r="B10" s="57">
        <v>45.0</v>
      </c>
      <c r="C10" s="57">
        <v>0.0</v>
      </c>
      <c r="D10" s="57">
        <f t="shared" si="1"/>
        <v>45</v>
      </c>
    </row>
    <row r="11">
      <c r="A11" s="57" t="s">
        <v>204</v>
      </c>
      <c r="B11" s="57">
        <v>42.0</v>
      </c>
      <c r="C11" s="57">
        <v>2.0</v>
      </c>
      <c r="D11" s="57">
        <f t="shared" si="1"/>
        <v>44</v>
      </c>
    </row>
    <row r="12">
      <c r="A12" s="57" t="s">
        <v>235</v>
      </c>
      <c r="B12" s="57">
        <v>45.0</v>
      </c>
      <c r="C12" s="57">
        <v>3.0</v>
      </c>
      <c r="D12" s="57">
        <f t="shared" si="1"/>
        <v>48</v>
      </c>
    </row>
    <row r="13">
      <c r="A13" s="57" t="s">
        <v>253</v>
      </c>
      <c r="B13" s="57">
        <v>45.0</v>
      </c>
      <c r="C13" s="57">
        <v>1.0</v>
      </c>
      <c r="D13" s="57">
        <f t="shared" si="1"/>
        <v>46</v>
      </c>
    </row>
    <row r="14">
      <c r="A14" s="57" t="s">
        <v>328</v>
      </c>
      <c r="B14" s="57">
        <v>45.0</v>
      </c>
      <c r="C14" s="57">
        <v>1.0</v>
      </c>
      <c r="D14" s="57">
        <f t="shared" si="1"/>
        <v>46</v>
      </c>
    </row>
    <row r="15">
      <c r="A15" s="57" t="s">
        <v>412</v>
      </c>
      <c r="B15" s="57">
        <v>26.0</v>
      </c>
      <c r="C15" s="57">
        <v>2.0</v>
      </c>
      <c r="D15" s="57">
        <f t="shared" si="1"/>
        <v>28</v>
      </c>
    </row>
    <row r="16">
      <c r="A16" s="65" t="s">
        <v>1267</v>
      </c>
      <c r="B16" s="66">
        <f t="shared" ref="B16:C16" si="2">SUM(B6, B7, B8, B9, B10, B11, B12, B13, B14, B15)</f>
        <v>434</v>
      </c>
      <c r="C16" s="66">
        <f t="shared" si="2"/>
        <v>12</v>
      </c>
      <c r="D16" s="67">
        <f t="shared" si="1"/>
        <v>446</v>
      </c>
    </row>
    <row r="17">
      <c r="A17" s="53" t="s">
        <v>1268</v>
      </c>
      <c r="B17" s="2"/>
      <c r="C17" s="2"/>
      <c r="D17" s="3"/>
    </row>
    <row r="18">
      <c r="A18" s="55" t="s">
        <v>1233</v>
      </c>
      <c r="B18" s="55" t="s">
        <v>1237</v>
      </c>
      <c r="C18" s="55" t="s">
        <v>1239</v>
      </c>
      <c r="D18" s="55" t="s">
        <v>1241</v>
      </c>
    </row>
    <row r="19">
      <c r="A19" s="57" t="s">
        <v>431</v>
      </c>
      <c r="B19" s="57">
        <v>46.0</v>
      </c>
      <c r="C19" s="57">
        <v>0.0</v>
      </c>
      <c r="D19" s="57">
        <f t="shared" ref="D19:D27" si="3">SUM(B19, C19)</f>
        <v>46</v>
      </c>
    </row>
    <row r="20">
      <c r="A20" s="57" t="s">
        <v>490</v>
      </c>
      <c r="B20" s="57">
        <v>45.0</v>
      </c>
      <c r="C20" s="57">
        <v>0.0</v>
      </c>
      <c r="D20" s="57">
        <f t="shared" si="3"/>
        <v>45</v>
      </c>
    </row>
    <row r="21">
      <c r="A21" s="57" t="s">
        <v>489</v>
      </c>
      <c r="B21" s="57">
        <v>41.0</v>
      </c>
      <c r="C21" s="57">
        <v>4.0</v>
      </c>
      <c r="D21" s="57">
        <f t="shared" si="3"/>
        <v>45</v>
      </c>
    </row>
    <row r="22">
      <c r="A22" s="57" t="s">
        <v>605</v>
      </c>
      <c r="B22" s="57">
        <v>40.0</v>
      </c>
      <c r="C22" s="57">
        <v>4.0</v>
      </c>
      <c r="D22" s="57">
        <f t="shared" si="3"/>
        <v>44</v>
      </c>
    </row>
    <row r="23">
      <c r="A23" s="57" t="s">
        <v>607</v>
      </c>
      <c r="B23" s="57">
        <v>46.0</v>
      </c>
      <c r="C23" s="57">
        <v>2.0</v>
      </c>
      <c r="D23" s="57">
        <f t="shared" si="3"/>
        <v>48</v>
      </c>
    </row>
    <row r="24">
      <c r="A24" s="57" t="s">
        <v>623</v>
      </c>
      <c r="B24" s="57">
        <v>45.0</v>
      </c>
      <c r="C24" s="57">
        <v>4.0</v>
      </c>
      <c r="D24" s="57">
        <f t="shared" si="3"/>
        <v>49</v>
      </c>
    </row>
    <row r="25">
      <c r="A25" s="57" t="s">
        <v>719</v>
      </c>
      <c r="B25" s="57">
        <v>18.0</v>
      </c>
      <c r="C25" s="57">
        <v>1.0</v>
      </c>
      <c r="D25" s="57">
        <f t="shared" si="3"/>
        <v>19</v>
      </c>
    </row>
    <row r="26">
      <c r="A26" s="57" t="s">
        <v>786</v>
      </c>
      <c r="B26" s="57">
        <v>6.0</v>
      </c>
      <c r="C26" s="57">
        <v>1.0</v>
      </c>
      <c r="D26" s="57">
        <f t="shared" si="3"/>
        <v>7</v>
      </c>
    </row>
    <row r="27">
      <c r="A27" s="65" t="s">
        <v>1267</v>
      </c>
      <c r="B27" s="67">
        <f t="shared" ref="B27:C27" si="4">SUM(B19, B20, B21, B22, B23, B24, B25, B26)</f>
        <v>287</v>
      </c>
      <c r="C27" s="67">
        <f t="shared" si="4"/>
        <v>16</v>
      </c>
      <c r="D27" s="67">
        <f t="shared" si="3"/>
        <v>303</v>
      </c>
    </row>
    <row r="28">
      <c r="A28" s="53" t="s">
        <v>1269</v>
      </c>
      <c r="B28" s="2"/>
      <c r="C28" s="2"/>
      <c r="D28" s="3"/>
    </row>
    <row r="29">
      <c r="A29" s="55" t="s">
        <v>1233</v>
      </c>
      <c r="B29" s="55" t="s">
        <v>1237</v>
      </c>
      <c r="C29" s="55" t="s">
        <v>1239</v>
      </c>
      <c r="D29" s="55" t="s">
        <v>1241</v>
      </c>
    </row>
    <row r="30">
      <c r="A30" s="57" t="s">
        <v>812</v>
      </c>
      <c r="B30" s="57">
        <v>39.0</v>
      </c>
      <c r="C30" s="57">
        <v>6.0</v>
      </c>
      <c r="D30" s="57">
        <f t="shared" ref="D30:D36" si="5">SUM(B30, C30)</f>
        <v>45</v>
      </c>
    </row>
    <row r="31">
      <c r="A31" s="57" t="s">
        <v>817</v>
      </c>
      <c r="B31" s="57">
        <v>40.0</v>
      </c>
      <c r="C31" s="57">
        <v>2.0</v>
      </c>
      <c r="D31" s="57">
        <f t="shared" si="5"/>
        <v>42</v>
      </c>
    </row>
    <row r="32">
      <c r="A32" s="57" t="s">
        <v>856</v>
      </c>
      <c r="B32" s="57">
        <v>42.0</v>
      </c>
      <c r="C32" s="57">
        <v>3.0</v>
      </c>
      <c r="D32" s="57">
        <f t="shared" si="5"/>
        <v>45</v>
      </c>
    </row>
    <row r="33">
      <c r="A33" s="57" t="s">
        <v>854</v>
      </c>
      <c r="B33" s="57">
        <v>37.0</v>
      </c>
      <c r="C33" s="57">
        <v>0.0</v>
      </c>
      <c r="D33" s="57">
        <f t="shared" si="5"/>
        <v>37</v>
      </c>
    </row>
    <row r="34">
      <c r="A34" s="57" t="s">
        <v>961</v>
      </c>
      <c r="B34" s="57">
        <v>48.0</v>
      </c>
      <c r="C34" s="57">
        <v>1.0</v>
      </c>
      <c r="D34" s="57">
        <f t="shared" si="5"/>
        <v>49</v>
      </c>
    </row>
    <row r="35">
      <c r="A35" s="57" t="s">
        <v>982</v>
      </c>
      <c r="B35" s="57">
        <v>27.0</v>
      </c>
      <c r="C35" s="57">
        <v>4.0</v>
      </c>
      <c r="D35" s="57">
        <f t="shared" si="5"/>
        <v>31</v>
      </c>
    </row>
    <row r="36">
      <c r="A36" s="65" t="s">
        <v>1267</v>
      </c>
      <c r="B36" s="67">
        <f t="shared" ref="B36:C36" si="6">SUM(B30, B31, B32, B33, B34, B35)</f>
        <v>233</v>
      </c>
      <c r="C36" s="67">
        <f t="shared" si="6"/>
        <v>16</v>
      </c>
      <c r="D36" s="67">
        <f t="shared" si="5"/>
        <v>249</v>
      </c>
    </row>
    <row r="37">
      <c r="A37" s="53" t="s">
        <v>1270</v>
      </c>
      <c r="B37" s="2"/>
      <c r="C37" s="2"/>
      <c r="D37" s="3"/>
    </row>
    <row r="38">
      <c r="A38" s="55" t="s">
        <v>1233</v>
      </c>
      <c r="B38" s="55" t="s">
        <v>1237</v>
      </c>
      <c r="C38" s="55" t="s">
        <v>1239</v>
      </c>
      <c r="D38" s="55" t="s">
        <v>1241</v>
      </c>
    </row>
    <row r="39">
      <c r="A39" s="57" t="s">
        <v>1031</v>
      </c>
      <c r="B39" s="57">
        <v>24.0</v>
      </c>
      <c r="C39" s="57">
        <v>29.0</v>
      </c>
      <c r="D39" s="57">
        <f t="shared" ref="D39:D42" si="7">SUM(B39, C39)</f>
        <v>53</v>
      </c>
    </row>
    <row r="40">
      <c r="A40" s="57" t="s">
        <v>1048</v>
      </c>
      <c r="B40" s="57">
        <v>33.0</v>
      </c>
      <c r="C40" s="57">
        <v>22.0</v>
      </c>
      <c r="D40" s="57">
        <f t="shared" si="7"/>
        <v>55</v>
      </c>
    </row>
    <row r="41">
      <c r="A41" s="57" t="s">
        <v>1143</v>
      </c>
      <c r="B41" s="57">
        <v>18.0</v>
      </c>
      <c r="C41" s="57">
        <v>14.0</v>
      </c>
      <c r="D41" s="57">
        <f t="shared" si="7"/>
        <v>32</v>
      </c>
    </row>
    <row r="42">
      <c r="A42" s="65" t="s">
        <v>1267</v>
      </c>
      <c r="B42" s="67">
        <f t="shared" ref="B42:C42" si="8">SUM(B39, B40, B41)</f>
        <v>75</v>
      </c>
      <c r="C42" s="67">
        <f t="shared" si="8"/>
        <v>65</v>
      </c>
      <c r="D42" s="67">
        <f t="shared" si="7"/>
        <v>140</v>
      </c>
    </row>
    <row r="43">
      <c r="A43" s="69"/>
      <c r="B43" s="2"/>
      <c r="C43" s="2"/>
      <c r="D43" s="3"/>
    </row>
    <row r="44" ht="23.25" customHeight="1">
      <c r="A44" s="70" t="s">
        <v>1271</v>
      </c>
      <c r="B44" s="70" t="s">
        <v>1237</v>
      </c>
      <c r="C44" s="70" t="s">
        <v>1239</v>
      </c>
      <c r="D44" s="70" t="s">
        <v>1241</v>
      </c>
    </row>
    <row r="45">
      <c r="A45" s="71">
        <v>27.0</v>
      </c>
      <c r="B45" s="71">
        <f t="shared" ref="B45:D45" si="9">SUM(B16, B27, B36, B42)</f>
        <v>1029</v>
      </c>
      <c r="C45" s="71">
        <f t="shared" si="9"/>
        <v>109</v>
      </c>
      <c r="D45" s="71">
        <f t="shared" si="9"/>
        <v>1138</v>
      </c>
    </row>
    <row r="46">
      <c r="A46" s="73" t="s">
        <v>167</v>
      </c>
      <c r="B46" s="2"/>
      <c r="C46" s="2"/>
      <c r="D46" s="3"/>
    </row>
    <row r="47">
      <c r="A47" s="74" t="s">
        <v>1272</v>
      </c>
      <c r="B47" s="2"/>
      <c r="C47" s="2"/>
      <c r="D47" s="3"/>
    </row>
  </sheetData>
  <mergeCells count="9">
    <mergeCell ref="A46:D46"/>
    <mergeCell ref="A47:D47"/>
    <mergeCell ref="A1:D2"/>
    <mergeCell ref="A3:D3"/>
    <mergeCell ref="A4:D4"/>
    <mergeCell ref="A17:D17"/>
    <mergeCell ref="A28:D28"/>
    <mergeCell ref="A37:D37"/>
    <mergeCell ref="A43:D43"/>
  </mergeCells>
  <drawing r:id="rId1"/>
</worksheet>
</file>